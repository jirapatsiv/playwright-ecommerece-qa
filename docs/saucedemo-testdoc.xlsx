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rapat Sivamard\Desktop\QA Project\SauceDemo\"/>
    </mc:Choice>
  </mc:AlternateContent>
  <xr:revisionPtr revIDLastSave="0" documentId="13_ncr:1_{9DF3AD93-9B81-4149-A8F9-9104BF412E5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quirements" sheetId="1" r:id="rId1"/>
    <sheet name="Test Scenarios" sheetId="2" r:id="rId2"/>
    <sheet name="Test Cases" sheetId="3" r:id="rId3"/>
    <sheet name="Test Summary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14" i="3"/>
  <c r="E14" i="3"/>
  <c r="E5" i="3"/>
  <c r="E6" i="3"/>
  <c r="E7" i="3"/>
  <c r="E8" i="3"/>
  <c r="E9" i="3"/>
  <c r="E10" i="3"/>
  <c r="E11" i="3"/>
  <c r="E12" i="3"/>
  <c r="E13" i="3"/>
  <c r="E4" i="3"/>
  <c r="D5" i="3"/>
  <c r="D6" i="3"/>
  <c r="D7" i="3"/>
  <c r="D8" i="3"/>
  <c r="D9" i="3"/>
  <c r="D10" i="3"/>
  <c r="D11" i="3"/>
  <c r="D13" i="3"/>
  <c r="D4" i="3"/>
  <c r="B11" i="5"/>
  <c r="B10" i="5"/>
  <c r="B9" i="5"/>
  <c r="B8" i="5"/>
  <c r="B7" i="5"/>
  <c r="B12" i="5" l="1"/>
</calcChain>
</file>

<file path=xl/sharedStrings.xml><?xml version="1.0" encoding="utf-8"?>
<sst xmlns="http://schemas.openxmlformats.org/spreadsheetml/2006/main" count="720" uniqueCount="366">
  <si>
    <t>Requirement ID</t>
  </si>
  <si>
    <t>Feature</t>
  </si>
  <si>
    <t>Requirement Description</t>
  </si>
  <si>
    <t>Priority</t>
  </si>
  <si>
    <t>Notes</t>
  </si>
  <si>
    <t>REQ-LOGIN-001</t>
  </si>
  <si>
    <t>Login</t>
  </si>
  <si>
    <t>User should be able to log in with valid credentials.</t>
  </si>
  <si>
    <t>High</t>
  </si>
  <si>
    <t>REQ-LOGIN-002</t>
  </si>
  <si>
    <t>User should not be able to log in with invalid credentials.</t>
  </si>
  <si>
    <t>REQ-LOGIN-003</t>
  </si>
  <si>
    <t>REQ-LOGIN-004</t>
  </si>
  <si>
    <t>Locked users should not be able to log in.</t>
  </si>
  <si>
    <t>REQ-LOGIN-005</t>
  </si>
  <si>
    <t>Successful login should redirect the user to the inventory page.</t>
  </si>
  <si>
    <t>Scenario ID</t>
  </si>
  <si>
    <t>Test Scenario</t>
  </si>
  <si>
    <t>Test Type</t>
  </si>
  <si>
    <t>TS-LOGIN-001</t>
  </si>
  <si>
    <t>Positive / Functional</t>
  </si>
  <si>
    <t>TS-LOGIN-002</t>
  </si>
  <si>
    <t>Negative / Functional</t>
  </si>
  <si>
    <t>TS-LOGIN-003</t>
  </si>
  <si>
    <t>TS-LOGIN-004</t>
  </si>
  <si>
    <t>TS-LOGIN-005</t>
  </si>
  <si>
    <t>Medium</t>
  </si>
  <si>
    <t>TS-LOGIN-006</t>
  </si>
  <si>
    <t>TC ID</t>
  </si>
  <si>
    <t>Test Case Title</t>
  </si>
  <si>
    <t>Preconditions</t>
  </si>
  <si>
    <t>Test Data</t>
  </si>
  <si>
    <t>Test Steps</t>
  </si>
  <si>
    <t>Expected Result</t>
  </si>
  <si>
    <t>Actual Result</t>
  </si>
  <si>
    <t>Status</t>
  </si>
  <si>
    <t>TC-LOGIN-001</t>
  </si>
  <si>
    <t>Login with valid credentials</t>
  </si>
  <si>
    <t>User is on login page</t>
  </si>
  <si>
    <t>standard_user / secret_sauce</t>
  </si>
  <si>
    <t>1. Enter valid username
2. Enter valid password
3. Click Login</t>
  </si>
  <si>
    <t>User logs in successfully and inventory page is displayed.</t>
  </si>
  <si>
    <t>Not Run</t>
  </si>
  <si>
    <t>TC-LOGIN-002</t>
  </si>
  <si>
    <t>Login with invalid password</t>
  </si>
  <si>
    <t>standard_user / wrong123</t>
  </si>
  <si>
    <t>1. Enter valid username
2. Enter invalid password
3. Click Login</t>
  </si>
  <si>
    <t>TC-LOGIN-003</t>
  </si>
  <si>
    <t>Login with invalid username</t>
  </si>
  <si>
    <t>invalid_user / secret_sauce</t>
  </si>
  <si>
    <t>1. Enter invalid username
2. Enter valid password
3. Click Login</t>
  </si>
  <si>
    <t>TC-LOGIN-004</t>
  </si>
  <si>
    <t>Login with empty username</t>
  </si>
  <si>
    <t>blank / secret_sauce</t>
  </si>
  <si>
    <t>TC-LOGIN-005</t>
  </si>
  <si>
    <t>Login with empty password</t>
  </si>
  <si>
    <t>standard_user / blank</t>
  </si>
  <si>
    <t>TC-LOGIN-006</t>
  </si>
  <si>
    <t>Login with both fields empty</t>
  </si>
  <si>
    <t>blank / blank</t>
  </si>
  <si>
    <t>1. Leave username blank
2. Leave password blank
3. Click Login</t>
  </si>
  <si>
    <t>TC-LOGIN-007</t>
  </si>
  <si>
    <t>Login with locked user</t>
  </si>
  <si>
    <t>locked_out_user / secret_sauce</t>
  </si>
  <si>
    <t>TC-LOGIN-008</t>
  </si>
  <si>
    <t>Verify URL after successful login</t>
  </si>
  <si>
    <t>TC-LOGIN-009</t>
  </si>
  <si>
    <t>TC-LOGIN-010</t>
  </si>
  <si>
    <t>SauceDemo QA Portfolio – Test Execution Summary</t>
  </si>
  <si>
    <t>Project</t>
  </si>
  <si>
    <t>SauceDemo Manual QA Testing</t>
  </si>
  <si>
    <t>Current Scope</t>
  </si>
  <si>
    <t>Metric</t>
  </si>
  <si>
    <t>Result</t>
  </si>
  <si>
    <t>Total Test Cases</t>
  </si>
  <si>
    <t>Passed</t>
  </si>
  <si>
    <t>Critical</t>
  </si>
  <si>
    <t>Failed</t>
  </si>
  <si>
    <t>Blocked</t>
  </si>
  <si>
    <t>Pass Rate</t>
  </si>
  <si>
    <t>Release Recommendation</t>
  </si>
  <si>
    <t>Overall Comments</t>
  </si>
  <si>
    <t>[Summarise quality, failed cases, blockers, and recommendation]</t>
  </si>
  <si>
    <t>REQ-LOGIN-006</t>
  </si>
  <si>
    <t>REQ-CART-001</t>
  </si>
  <si>
    <t>Cart</t>
  </si>
  <si>
    <t>Username is a required field.</t>
  </si>
  <si>
    <t>Password is a required field.</t>
  </si>
  <si>
    <t>REQ-LOGIN-007</t>
  </si>
  <si>
    <t>An appropriate error message should be displayed when login fails.</t>
  </si>
  <si>
    <t>REQ-LOGIN-008</t>
  </si>
  <si>
    <t>The password field should mask entered characters.</t>
  </si>
  <si>
    <t>User should be able to add an item to the cart.</t>
  </si>
  <si>
    <t>REQ-CART-002</t>
  </si>
  <si>
    <t>User should be able to add multiple items to the cart.</t>
  </si>
  <si>
    <t>REQ-CART-003</t>
  </si>
  <si>
    <t>The cart badge should display the correct number of items in the cart.</t>
  </si>
  <si>
    <t>REQ-CART-004</t>
  </si>
  <si>
    <t>User should be able to view items added to the cart.</t>
  </si>
  <si>
    <t>REQ-CART-005</t>
  </si>
  <si>
    <t>Product name in the cart should match the selected product.</t>
  </si>
  <si>
    <t>REQ-CART-006</t>
  </si>
  <si>
    <t>Product price in the cart should match the selected product price.</t>
  </si>
  <si>
    <t>REQ-CART-007</t>
  </si>
  <si>
    <t>User should be able to remove an item from the cart.</t>
  </si>
  <si>
    <t>REQ-CART-008</t>
  </si>
  <si>
    <t>Removing an item should update the cart badge correctly.</t>
  </si>
  <si>
    <t>REQ-CART-009</t>
  </si>
  <si>
    <t>User should be able to continue shopping from the cart page.</t>
  </si>
  <si>
    <t>REQ-CART-010</t>
  </si>
  <si>
    <t>User should be able to proceed from the cart to checkout.</t>
  </si>
  <si>
    <t>REQ-CHECKOUT-001</t>
  </si>
  <si>
    <t>Checkout</t>
  </si>
  <si>
    <t>User should be able to proceed to checkout when the cart contains at least one item.</t>
  </si>
  <si>
    <t>REQ-CHECKOUT-002</t>
  </si>
  <si>
    <t>First Name is a required field.</t>
  </si>
  <si>
    <t>REQ-CHECKOUT-003</t>
  </si>
  <si>
    <t>Last Name is a required field.</t>
  </si>
  <si>
    <t>REQ-CHECKOUT-004</t>
  </si>
  <si>
    <t>Postal Code is a required field.</t>
  </si>
  <si>
    <t>REQ-CHECKOUT-005</t>
  </si>
  <si>
    <t>User should be able to continue to the order overview after entering valid customer information.</t>
  </si>
  <si>
    <t>REQ-CHECKOUT-006</t>
  </si>
  <si>
    <t>The checkout overview should display the selected product details.</t>
  </si>
  <si>
    <t>REQ-CHECKOUT-007</t>
  </si>
  <si>
    <t>The checkout overview should display the correct product price.</t>
  </si>
  <si>
    <t>REQ-CHECKOUT-008</t>
  </si>
  <si>
    <t>The checkout overview should display item total, tax, and total amount.</t>
  </si>
  <si>
    <t>REQ-CHECKOUT-009</t>
  </si>
  <si>
    <t>User should be able to complete an order successfully.</t>
  </si>
  <si>
    <t>REQ-CHECKOUT-010</t>
  </si>
  <si>
    <t>A confirmation message should be displayed after a successful order.</t>
  </si>
  <si>
    <t>REQ-CHECKOUT-011</t>
  </si>
  <si>
    <t>User should be able to cancel the checkout process before completing the order.</t>
  </si>
  <si>
    <t>Verify that a user can log in with valid username and password.</t>
  </si>
  <si>
    <t>Verify that login is rejected when the username is invalid and password is valid.</t>
  </si>
  <si>
    <t>Verify that login is rejected when the username is valid and password is invalid.</t>
  </si>
  <si>
    <t>Verify that login is rejected when both username and password are invalid.</t>
  </si>
  <si>
    <t>Verify that login is rejected when username is blank.</t>
  </si>
  <si>
    <t>Negative / Validation</t>
  </si>
  <si>
    <t>Verify that login is rejected when password is blank.</t>
  </si>
  <si>
    <t>TS-LOGIN-007</t>
  </si>
  <si>
    <t>REQ-LOGIN-003, REQ-LOGIN-004</t>
  </si>
  <si>
    <t>Verify that login is rejected when both username and password are blank.</t>
  </si>
  <si>
    <t>TS-LOGIN-008</t>
  </si>
  <si>
    <t>Verify that a locked user cannot log in.</t>
  </si>
  <si>
    <t>TS-LOGIN-009</t>
  </si>
  <si>
    <t>Verify that successful login redirects the user to the inventory page.</t>
  </si>
  <si>
    <t>TS-LOGIN-010</t>
  </si>
  <si>
    <t>Verify that an appropriate error message is displayed after failed login.</t>
  </si>
  <si>
    <t>TS-LOGIN-011</t>
  </si>
  <si>
    <t>Verify that characters entered in the password field are masked.</t>
  </si>
  <si>
    <t>UI / Security</t>
  </si>
  <si>
    <t>TS-CART-001</t>
  </si>
  <si>
    <t>Verify that a user can add one product to the cart.</t>
  </si>
  <si>
    <t>TS-CART-002</t>
  </si>
  <si>
    <t>Verify that a user can add multiple products to the cart.</t>
  </si>
  <si>
    <t>TS-CART-003</t>
  </si>
  <si>
    <t>Verify that the cart badge displays the correct quantity after adding one item.</t>
  </si>
  <si>
    <t>Functional</t>
  </si>
  <si>
    <t>TS-CART-004</t>
  </si>
  <si>
    <t>Verify that the cart badge displays the correct quantity after adding multiple items.</t>
  </si>
  <si>
    <t>TS-CART-005</t>
  </si>
  <si>
    <t>Verify that products added to the cart are displayed on the cart page.</t>
  </si>
  <si>
    <t>TS-CART-006</t>
  </si>
  <si>
    <t>Verify that the product name in the cart matches the product selected from inventory.</t>
  </si>
  <si>
    <t>Data Validation</t>
  </si>
  <si>
    <t>TS-CART-007</t>
  </si>
  <si>
    <t>Verify that the product price in the cart matches the inventory price.</t>
  </si>
  <si>
    <t>TS-CART-008</t>
  </si>
  <si>
    <t>Verify that a user can remove a product from the cart.</t>
  </si>
  <si>
    <t>TS-CART-009</t>
  </si>
  <si>
    <t>Verify that the cart badge is updated after removing an item.</t>
  </si>
  <si>
    <t>TS-CART-010</t>
  </si>
  <si>
    <t>Verify that a user can continue shopping from the cart page.</t>
  </si>
  <si>
    <t>Positive / Navigation</t>
  </si>
  <si>
    <t>TS-CART-011</t>
  </si>
  <si>
    <t>Verify that a user can proceed from the cart page to checkout.</t>
  </si>
  <si>
    <t>TS-CHECKOUT-001</t>
  </si>
  <si>
    <t>Verify that a user can start checkout when the cart contains an item.</t>
  </si>
  <si>
    <t>TS-CHECKOUT-002</t>
  </si>
  <si>
    <t>Verify that checkout cannot continue when First Name is blank.</t>
  </si>
  <si>
    <t>TS-CHECKOUT-003</t>
  </si>
  <si>
    <t>Verify that checkout cannot continue when Last Name is blank.</t>
  </si>
  <si>
    <t>TS-CHECKOUT-004</t>
  </si>
  <si>
    <t>Verify that checkout cannot continue when Postal Code is blank.</t>
  </si>
  <si>
    <t>TS-CHECKOUT-005</t>
  </si>
  <si>
    <t>Verify that valid customer information allows the user to proceed to checkout overview.</t>
  </si>
  <si>
    <t>TS-CHECKOUT-006</t>
  </si>
  <si>
    <t>Verify that the checkout overview displays the selected product correctly.</t>
  </si>
  <si>
    <t>TS-CHECKOUT-007</t>
  </si>
  <si>
    <t>Verify that the product price on checkout overview is correct.</t>
  </si>
  <si>
    <t>TS-CHECKOUT-008</t>
  </si>
  <si>
    <t>Verify that item total, tax, and total amount are displayed correctly.</t>
  </si>
  <si>
    <t>Calculation / Data Validation</t>
  </si>
  <si>
    <t>TS-CHECKOUT-009</t>
  </si>
  <si>
    <t>Verify that a user can successfully complete an order.</t>
  </si>
  <si>
    <t>Positive / End-to-End</t>
  </si>
  <si>
    <t>TS-CHECKOUT-010</t>
  </si>
  <si>
    <t>Verify that an order confirmation message is displayed after successful checkout.</t>
  </si>
  <si>
    <t>TS-CHECKOUT-011</t>
  </si>
  <si>
    <t>Verify that a user can cancel the checkout process before placing the order.</t>
  </si>
  <si>
    <t>Login is denied and an appropriate error message is displayed.</t>
  </si>
  <si>
    <t>invalid_user / wrong123</t>
  </si>
  <si>
    <t>Username required validation message is displayed.</t>
  </si>
  <si>
    <t>Password required validation message is displayed.</t>
  </si>
  <si>
    <t>Required field validation is displayed and login is denied.</t>
  </si>
  <si>
    <t>TC-LOGIN-011</t>
  </si>
  <si>
    <t>secret_sauce</t>
  </si>
  <si>
    <t>Login with both credentials invalid</t>
  </si>
  <si>
    <t>Login is denied and locked-user error message is displayed.</t>
  </si>
  <si>
    <t>URL points to the inventory page.</t>
  </si>
  <si>
    <t>Verify failed-login error message</t>
  </si>
  <si>
    <t>Correct login error message is displayed.</t>
  </si>
  <si>
    <t>Verify password masking</t>
  </si>
  <si>
    <t>Password characters are masked and not displayed as plain text.</t>
  </si>
  <si>
    <t>1. Enter invalid username
2. Enter invalid password
3. Click Login</t>
  </si>
  <si>
    <t>1. Leave username blank
2. Enter valid password
3. Click Login</t>
  </si>
  <si>
    <t>1. Enter valid username
2. Leave password blank
3. Click Login</t>
  </si>
  <si>
    <t>1. Enter locked user username
2. Enter valid password
3. Click Login</t>
  </si>
  <si>
    <t>1. Login with valid credentials
2. Observe browser URL</t>
  </si>
  <si>
    <t>1. Enter invalid credentials
2. Click Login
3. Observe error message</t>
  </si>
  <si>
    <t>1. Click password field
2. Enter password
3. Observe entered characters</t>
  </si>
  <si>
    <t>TC-CART-001</t>
  </si>
  <si>
    <t>Add one product to cart</t>
  </si>
  <si>
    <t>User is logged in and on inventory page</t>
  </si>
  <si>
    <t>Sauce Labs Backpack</t>
  </si>
  <si>
    <t>Product is added successfully and cart badge displays 1.</t>
  </si>
  <si>
    <t>TC-CART-002</t>
  </si>
  <si>
    <t>Add multiple products to cart</t>
  </si>
  <si>
    <t>Backpack / Bike Light</t>
  </si>
  <si>
    <t>Both products are added and cart badge displays 2.</t>
  </si>
  <si>
    <t>TC-CART-003</t>
  </si>
  <si>
    <t>Verify cart badge after adding one item</t>
  </si>
  <si>
    <t>User is logged in and cart is empty</t>
  </si>
  <si>
    <t>Cart badge displays 1.</t>
  </si>
  <si>
    <t>TC-CART-004</t>
  </si>
  <si>
    <t>Verify cart badge after adding multiple items</t>
  </si>
  <si>
    <t>3 different products</t>
  </si>
  <si>
    <t>Cart badge displays 3.</t>
  </si>
  <si>
    <t>TC-CART-005</t>
  </si>
  <si>
    <t>View added product in cart</t>
  </si>
  <si>
    <t>User has added a product to cart</t>
  </si>
  <si>
    <t>Sauce Labs Backpack is displayed on cart page.</t>
  </si>
  <si>
    <t>TC-CART-006</t>
  </si>
  <si>
    <t>Verify product name in cart</t>
  </si>
  <si>
    <t>Product name in cart matches the selected product.</t>
  </si>
  <si>
    <t>TC-CART-007</t>
  </si>
  <si>
    <t>Verify product price in cart</t>
  </si>
  <si>
    <t>Product price in cart matches the inventory price.</t>
  </si>
  <si>
    <t>TC-CART-008</t>
  </si>
  <si>
    <t>Remove product from cart</t>
  </si>
  <si>
    <t>Cart contains Sauce Labs Backpack</t>
  </si>
  <si>
    <t>Product is removed from the cart.</t>
  </si>
  <si>
    <t>TC-CART-009</t>
  </si>
  <si>
    <t>Verify cart badge after removing an item</t>
  </si>
  <si>
    <t>Cart contains two products</t>
  </si>
  <si>
    <t>Cart badge decreases from 2 to 1.</t>
  </si>
  <si>
    <t>TC-CART-010</t>
  </si>
  <si>
    <t>Continue shopping from cart</t>
  </si>
  <si>
    <t>User is on cart page</t>
  </si>
  <si>
    <t>N/A</t>
  </si>
  <si>
    <t>1. Click Continue Shopping</t>
  </si>
  <si>
    <t>User returns to inventory page.</t>
  </si>
  <si>
    <t>TC-CART-011</t>
  </si>
  <si>
    <t>Proceed from cart to checkout</t>
  </si>
  <si>
    <t>Cart contains at least one product</t>
  </si>
  <si>
    <t>Checkout information page is displayed.</t>
  </si>
  <si>
    <t>1. Locate Sauce Labs Backpack
2. Click Add to cart</t>
  </si>
  <si>
    <t>1. Add Backpack to cart
2. Add Bike Light to cart</t>
  </si>
  <si>
    <t>1. Add one product to cart
2. Observe cart badge</t>
  </si>
  <si>
    <t>1. Add three products to cart
2. Observe cart badge</t>
  </si>
  <si>
    <t>1. Add Backpack to cart
2. Click cart icon</t>
  </si>
  <si>
    <t>TC-CHECKOUT-001</t>
  </si>
  <si>
    <t>Start checkout with product in cart</t>
  </si>
  <si>
    <t>User is logged in and cart contains a product</t>
  </si>
  <si>
    <t>TC-CHECKOUT-002</t>
  </si>
  <si>
    <t>Checkout with empty first name</t>
  </si>
  <si>
    <t>User is on checkout information page</t>
  </si>
  <si>
    <t>blank / Tester / 2000</t>
  </si>
  <si>
    <t>First Name required validation message is displayed.</t>
  </si>
  <si>
    <t>TC-CHECKOUT-003</t>
  </si>
  <si>
    <t>Checkout with empty last name</t>
  </si>
  <si>
    <t>Pat / blank / 2000</t>
  </si>
  <si>
    <t>Last Name required validation message is displayed.</t>
  </si>
  <si>
    <t>TC-CHECKOUT-004</t>
  </si>
  <si>
    <t>Checkout with empty postal code</t>
  </si>
  <si>
    <t>Pat / Tester / blank</t>
  </si>
  <si>
    <t>Postal Code required validation message is displayed.</t>
  </si>
  <si>
    <t>TC-CHECKOUT-005</t>
  </si>
  <si>
    <t>Continue checkout with valid information</t>
  </si>
  <si>
    <t>Pat / Tester / 2000</t>
  </si>
  <si>
    <t>Checkout overview page is displayed.</t>
  </si>
  <si>
    <t>TC-CHECKOUT-006</t>
  </si>
  <si>
    <t>Verify product details on checkout overview</t>
  </si>
  <si>
    <t>User is on checkout overview page</t>
  </si>
  <si>
    <t>Selected product details are displayed correctly.</t>
  </si>
  <si>
    <t>TC-CHECKOUT-007</t>
  </si>
  <si>
    <t>Verify product price on checkout overview</t>
  </si>
  <si>
    <t>Product price on overview matches the expected product price.</t>
  </si>
  <si>
    <t>TC-CHECKOUT-008</t>
  </si>
  <si>
    <t>Verify checkout totals</t>
  </si>
  <si>
    <t>Product subtotal and tax</t>
  </si>
  <si>
    <t>Displayed total equals item total plus tax.</t>
  </si>
  <si>
    <t>TC-CHECKOUT-009</t>
  </si>
  <si>
    <t>Complete order successfully</t>
  </si>
  <si>
    <t>Valid order</t>
  </si>
  <si>
    <t>Order is completed successfully.</t>
  </si>
  <si>
    <t>TC-CHECKOUT-010</t>
  </si>
  <si>
    <t>Verify successful-order confirmation</t>
  </si>
  <si>
    <t>User has completed checkout</t>
  </si>
  <si>
    <t>“Thank you for your order!” is displayed.</t>
  </si>
  <si>
    <t>TC-CHECKOUT-011</t>
  </si>
  <si>
    <t>Cancel checkout</t>
  </si>
  <si>
    <t>User is in checkout process</t>
  </si>
  <si>
    <t>Checkout is cancelled and user is returned to the appropriate previous page.</t>
  </si>
  <si>
    <t>1. Note product name
2. Add product to cart
3. Open cart
4. Compare product name</t>
  </si>
  <si>
    <t>1. Note product price
2. Add product to cart
3. Open cart
4. Compare product price</t>
  </si>
  <si>
    <t>1. Open cart
2. Locate Sauce Labs Backpack
3. Click Remove</t>
  </si>
  <si>
    <t>1. Open cart
2. Remove one product
3. Observe cart badge</t>
  </si>
  <si>
    <t>1. Open cart
2. Click Checkout</t>
  </si>
  <si>
    <t>1. Leave First Name blank
2. Enter Last Name
3. Enter Postal Code
4. Click Continue</t>
  </si>
  <si>
    <t>1. Enter First Name
2. Leave Last Name blank
3. Enter Postal Code
4. Click Continue</t>
  </si>
  <si>
    <t>1. Enter First Name
2. Enter Last Name
3. Leave Postal Code blank
4. Click Continue</t>
  </si>
  <si>
    <t>1. Enter First Name
2. Enter Last Name
3. Enter Postal Code
4. Click Continue</t>
  </si>
  <si>
    <t>1. Locate selected product
2. Check product name and details</t>
  </si>
  <si>
    <t>1. Note product price before checkout
2. Proceed to overview
3. Compare displayed price</t>
  </si>
  <si>
    <t>1. Observe item total
2. Observe tax
3. Observe total
4. Calculate expected total</t>
  </si>
  <si>
    <t>1. Review order details
2. Click Finish</t>
  </si>
  <si>
    <t>1. Complete checkout
2. Observe confirmation page</t>
  </si>
  <si>
    <t>1. Start checkout
2. Click Cancel</t>
  </si>
  <si>
    <t>Pass</t>
  </si>
  <si>
    <t>User logged in successfully and was redirected to /inventory.html.</t>
  </si>
  <si>
    <t>URL showed /inventory.html.</t>
  </si>
  <si>
    <t>Show message "Thank you for your order!"</t>
  </si>
  <si>
    <t>Login was denied and the error message "Epic sadface: Username and password do not match any user in this service" was displayed.</t>
  </si>
  <si>
    <t>Login was denied and the error message "Epic sadface: Username is required" was displayed.</t>
  </si>
  <si>
    <t>Login was denied and the error message "Epic sadface: Password is required" was displayed.</t>
  </si>
  <si>
    <t>Login was denied and the error message indicating that the user has been locked out was displayed.</t>
  </si>
  <si>
    <t>The error message "Epic sadface: Username and password do not match any user in this service" was displayed.</t>
  </si>
  <si>
    <t>Password characters were masked and were not displayed as plain text.</t>
  </si>
  <si>
    <t>Sauce Labs Backpack was added to the cart successfully and the cart badge displayed 1.</t>
  </si>
  <si>
    <t>Sauce Labs Backpack and Sauce Labs Bike Light were added successfully and the cart badge displayed 2.</t>
  </si>
  <si>
    <t>The cart badge displayed 1 after one product was added.</t>
  </si>
  <si>
    <t>The cart badge displayed 3 after three products were added.</t>
  </si>
  <si>
    <t>Sauce Labs Backpack was removed successfully and was no longer displayed on the cart page.</t>
  </si>
  <si>
    <t>The cart badge decreased from 2 to 1 after one product was removed.</t>
  </si>
  <si>
    <t>User was redirected from the cart page back to the inventory page.</t>
  </si>
  <si>
    <t>User was redirected to the checkout information page after clicking Checkout.</t>
  </si>
  <si>
    <t>User was redirected to the checkout information page successfully.</t>
  </si>
  <si>
    <t>Checkout could not continue and the error message "Epic sadface: First Name is required" was displayed.</t>
  </si>
  <si>
    <t>Checkout could not continue and the error message "Epic sadface: Last Name is required" was displayed.</t>
  </si>
  <si>
    <t>Checkout could not continue and the error message "Epic sadface: Postal Code is required" was displayed.</t>
  </si>
  <si>
    <t>The checkout overview page was displayed after valid customer information was submitted.</t>
  </si>
  <si>
    <t>The selected product details were displayed correctly on the checkout overview page.</t>
  </si>
  <si>
    <t>The product price on the checkout overview page matched the expected product price.</t>
  </si>
  <si>
    <t>The displayed total matched the item total plus tax.</t>
  </si>
  <si>
    <t>The order was completed successfully and the message "Thank you for your order!" was displayed.</t>
  </si>
  <si>
    <t>Checkout was cancelled and the user was redirected back to the cart page.</t>
  </si>
  <si>
    <t>Sauce Labs Backpack was displayed on the cart page successfully.</t>
  </si>
  <si>
    <t>The product name displayed in the cart matched the product selected from the inventory page.</t>
  </si>
  <si>
    <t>The product price displayed in the cart matched the price shown on the inventory page.</t>
  </si>
  <si>
    <t>SauceDemo - Test Cases</t>
  </si>
  <si>
    <t>SauceDemo - Requirements</t>
  </si>
  <si>
    <t>SauceDemo - Test Scenarios</t>
  </si>
  <si>
    <t>Login, Cart and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</si>
</sst>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sz val="8"/>
      <name val="Carlito"/>
    </font>
    <font>
      <b/>
      <sz val="11"/>
      <color theme="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ont>
        <color rgb="FF7F60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selection sqref="A1:D1"/>
    </sheetView>
  </sheetViews>
  <sheetFormatPr defaultRowHeight="14.25"/>
  <cols>
    <col min="1" max="1" width="18" customWidth="1"/>
    <col min="2" max="2" width="16" customWidth="1"/>
    <col min="3" max="3" width="42" customWidth="1"/>
    <col min="4" max="4" width="12" customWidth="1"/>
    <col min="5" max="5" width="10.375" customWidth="1"/>
    <col min="6" max="6" width="9.625" customWidth="1"/>
  </cols>
  <sheetData>
    <row r="1" spans="1:6" ht="18">
      <c r="A1" s="12" t="s">
        <v>363</v>
      </c>
      <c r="B1" s="12"/>
      <c r="C1" s="12"/>
      <c r="D1" s="12"/>
      <c r="E1" s="11"/>
      <c r="F1" s="11"/>
    </row>
    <row r="3" spans="1:6" ht="15">
      <c r="A3" s="7" t="s">
        <v>0</v>
      </c>
      <c r="B3" s="7" t="s">
        <v>1</v>
      </c>
      <c r="C3" s="7" t="s">
        <v>2</v>
      </c>
      <c r="D3" s="7" t="s">
        <v>3</v>
      </c>
      <c r="E3" s="6"/>
      <c r="F3" s="6"/>
    </row>
    <row r="4" spans="1:6" ht="28.5">
      <c r="A4" s="5" t="s">
        <v>5</v>
      </c>
      <c r="B4" s="5" t="s">
        <v>6</v>
      </c>
      <c r="C4" s="5" t="s">
        <v>7</v>
      </c>
      <c r="D4" s="2" t="s">
        <v>8</v>
      </c>
      <c r="E4" s="2"/>
      <c r="F4" s="2"/>
    </row>
    <row r="5" spans="1:6" ht="28.5">
      <c r="A5" s="5" t="s">
        <v>9</v>
      </c>
      <c r="B5" s="5" t="s">
        <v>6</v>
      </c>
      <c r="C5" s="5" t="s">
        <v>10</v>
      </c>
      <c r="D5" s="2" t="s">
        <v>8</v>
      </c>
      <c r="E5" s="2"/>
      <c r="F5" s="2"/>
    </row>
    <row r="6" spans="1:6">
      <c r="A6" s="5" t="s">
        <v>11</v>
      </c>
      <c r="B6" s="5" t="s">
        <v>6</v>
      </c>
      <c r="C6" s="5" t="s">
        <v>86</v>
      </c>
      <c r="D6" s="2" t="s">
        <v>8</v>
      </c>
      <c r="E6" s="2"/>
      <c r="F6" s="2"/>
    </row>
    <row r="7" spans="1:6">
      <c r="A7" s="5" t="s">
        <v>12</v>
      </c>
      <c r="B7" s="5" t="s">
        <v>6</v>
      </c>
      <c r="C7" s="5" t="s">
        <v>87</v>
      </c>
      <c r="D7" s="2" t="s">
        <v>8</v>
      </c>
      <c r="E7" s="2"/>
      <c r="F7" s="2"/>
    </row>
    <row r="8" spans="1:6">
      <c r="A8" s="5" t="s">
        <v>14</v>
      </c>
      <c r="B8" s="5" t="s">
        <v>6</v>
      </c>
      <c r="C8" s="5" t="s">
        <v>13</v>
      </c>
      <c r="D8" s="2" t="s">
        <v>8</v>
      </c>
      <c r="E8" s="2"/>
      <c r="F8" s="2"/>
    </row>
    <row r="9" spans="1:6" ht="28.5">
      <c r="A9" s="5" t="s">
        <v>83</v>
      </c>
      <c r="B9" s="5" t="s">
        <v>6</v>
      </c>
      <c r="C9" s="5" t="s">
        <v>15</v>
      </c>
      <c r="D9" s="2" t="s">
        <v>8</v>
      </c>
      <c r="E9" s="2"/>
      <c r="F9" s="2"/>
    </row>
    <row r="10" spans="1:6" ht="28.5">
      <c r="A10" s="5" t="s">
        <v>88</v>
      </c>
      <c r="B10" s="5" t="s">
        <v>6</v>
      </c>
      <c r="C10" s="5" t="s">
        <v>89</v>
      </c>
      <c r="D10" s="2" t="s">
        <v>8</v>
      </c>
      <c r="E10" s="2"/>
      <c r="F10" s="2"/>
    </row>
    <row r="11" spans="1:6" ht="28.5">
      <c r="A11" s="5" t="s">
        <v>90</v>
      </c>
      <c r="B11" s="5" t="s">
        <v>6</v>
      </c>
      <c r="C11" s="5" t="s">
        <v>91</v>
      </c>
      <c r="D11" s="2" t="s">
        <v>8</v>
      </c>
      <c r="E11" s="2"/>
      <c r="F11" s="2"/>
    </row>
    <row r="12" spans="1:6">
      <c r="A12" s="5" t="s">
        <v>84</v>
      </c>
      <c r="B12" s="5" t="s">
        <v>85</v>
      </c>
      <c r="C12" s="5" t="s">
        <v>92</v>
      </c>
      <c r="D12" s="2" t="s">
        <v>8</v>
      </c>
      <c r="E12" s="2"/>
      <c r="F12" s="2"/>
    </row>
    <row r="13" spans="1:6" ht="28.5">
      <c r="A13" s="5" t="s">
        <v>93</v>
      </c>
      <c r="B13" s="5" t="s">
        <v>85</v>
      </c>
      <c r="C13" s="5" t="s">
        <v>94</v>
      </c>
      <c r="D13" s="2" t="s">
        <v>8</v>
      </c>
      <c r="E13" s="2"/>
      <c r="F13" s="2"/>
    </row>
    <row r="14" spans="1:6" ht="28.5">
      <c r="A14" s="5" t="s">
        <v>95</v>
      </c>
      <c r="B14" s="5" t="s">
        <v>85</v>
      </c>
      <c r="C14" s="5" t="s">
        <v>96</v>
      </c>
      <c r="D14" s="2" t="s">
        <v>8</v>
      </c>
      <c r="E14" s="2"/>
      <c r="F14" s="2"/>
    </row>
    <row r="15" spans="1:6" ht="28.5">
      <c r="A15" s="5" t="s">
        <v>97</v>
      </c>
      <c r="B15" s="5" t="s">
        <v>85</v>
      </c>
      <c r="C15" s="5" t="s">
        <v>98</v>
      </c>
      <c r="D15" s="2" t="s">
        <v>8</v>
      </c>
      <c r="E15" s="2"/>
      <c r="F15" s="2"/>
    </row>
    <row r="16" spans="1:6" ht="28.5">
      <c r="A16" s="5" t="s">
        <v>99</v>
      </c>
      <c r="B16" s="5" t="s">
        <v>85</v>
      </c>
      <c r="C16" s="5" t="s">
        <v>100</v>
      </c>
      <c r="D16" s="2" t="s">
        <v>8</v>
      </c>
      <c r="E16" s="2"/>
      <c r="F16" s="2"/>
    </row>
    <row r="17" spans="1:6" ht="28.5">
      <c r="A17" s="5" t="s">
        <v>101</v>
      </c>
      <c r="B17" s="5" t="s">
        <v>85</v>
      </c>
      <c r="C17" s="5" t="s">
        <v>102</v>
      </c>
      <c r="D17" s="2" t="s">
        <v>8</v>
      </c>
      <c r="E17" s="2"/>
      <c r="F17" s="2"/>
    </row>
    <row r="18" spans="1:6" ht="28.5">
      <c r="A18" s="5" t="s">
        <v>103</v>
      </c>
      <c r="B18" s="5" t="s">
        <v>85</v>
      </c>
      <c r="C18" s="5" t="s">
        <v>104</v>
      </c>
      <c r="D18" s="2" t="s">
        <v>8</v>
      </c>
      <c r="E18" s="2"/>
      <c r="F18" s="2"/>
    </row>
    <row r="19" spans="1:6" ht="28.5">
      <c r="A19" s="5" t="s">
        <v>105</v>
      </c>
      <c r="B19" s="5" t="s">
        <v>85</v>
      </c>
      <c r="C19" s="5" t="s">
        <v>106</v>
      </c>
      <c r="D19" s="2" t="s">
        <v>8</v>
      </c>
      <c r="E19" s="2"/>
      <c r="F19" s="2"/>
    </row>
    <row r="20" spans="1:6" ht="28.5">
      <c r="A20" s="5" t="s">
        <v>107</v>
      </c>
      <c r="B20" s="5" t="s">
        <v>85</v>
      </c>
      <c r="C20" s="5" t="s">
        <v>108</v>
      </c>
      <c r="D20" s="2" t="s">
        <v>8</v>
      </c>
      <c r="E20" s="2"/>
      <c r="F20" s="2"/>
    </row>
    <row r="21" spans="1:6" ht="28.5">
      <c r="A21" s="5" t="s">
        <v>109</v>
      </c>
      <c r="B21" s="5" t="s">
        <v>85</v>
      </c>
      <c r="C21" s="5" t="s">
        <v>110</v>
      </c>
      <c r="D21" s="2" t="s">
        <v>8</v>
      </c>
      <c r="E21" s="2"/>
      <c r="F21" s="2"/>
    </row>
    <row r="22" spans="1:6" ht="28.5">
      <c r="A22" s="5" t="s">
        <v>111</v>
      </c>
      <c r="B22" s="5" t="s">
        <v>112</v>
      </c>
      <c r="C22" s="5" t="s">
        <v>113</v>
      </c>
      <c r="D22" s="2" t="s">
        <v>8</v>
      </c>
      <c r="E22" s="2"/>
      <c r="F22" s="2"/>
    </row>
    <row r="23" spans="1:6" ht="28.5">
      <c r="A23" s="5" t="s">
        <v>114</v>
      </c>
      <c r="B23" s="5" t="s">
        <v>112</v>
      </c>
      <c r="C23" s="5" t="s">
        <v>115</v>
      </c>
      <c r="D23" s="2" t="s">
        <v>8</v>
      </c>
      <c r="E23" s="2"/>
      <c r="F23" s="2"/>
    </row>
    <row r="24" spans="1:6" ht="28.5">
      <c r="A24" s="5" t="s">
        <v>116</v>
      </c>
      <c r="B24" s="5" t="s">
        <v>112</v>
      </c>
      <c r="C24" s="5" t="s">
        <v>117</v>
      </c>
      <c r="D24" s="2" t="s">
        <v>8</v>
      </c>
      <c r="E24" s="2"/>
      <c r="F24" s="2"/>
    </row>
    <row r="25" spans="1:6" ht="28.5">
      <c r="A25" s="5" t="s">
        <v>118</v>
      </c>
      <c r="B25" s="5" t="s">
        <v>112</v>
      </c>
      <c r="C25" s="5" t="s">
        <v>119</v>
      </c>
      <c r="D25" s="2" t="s">
        <v>8</v>
      </c>
      <c r="E25" s="2"/>
      <c r="F25" s="2"/>
    </row>
    <row r="26" spans="1:6" ht="42.75">
      <c r="A26" s="5" t="s">
        <v>120</v>
      </c>
      <c r="B26" s="5" t="s">
        <v>112</v>
      </c>
      <c r="C26" s="5" t="s">
        <v>121</v>
      </c>
      <c r="D26" s="2" t="s">
        <v>8</v>
      </c>
      <c r="E26" s="2"/>
      <c r="F26" s="2"/>
    </row>
    <row r="27" spans="1:6" ht="28.5">
      <c r="A27" s="5" t="s">
        <v>122</v>
      </c>
      <c r="B27" s="5" t="s">
        <v>112</v>
      </c>
      <c r="C27" s="5" t="s">
        <v>123</v>
      </c>
      <c r="D27" s="2" t="s">
        <v>8</v>
      </c>
      <c r="E27" s="2"/>
      <c r="F27" s="2"/>
    </row>
    <row r="28" spans="1:6" ht="28.5">
      <c r="A28" s="5" t="s">
        <v>124</v>
      </c>
      <c r="B28" s="5" t="s">
        <v>112</v>
      </c>
      <c r="C28" s="5" t="s">
        <v>125</v>
      </c>
      <c r="D28" s="2" t="s">
        <v>8</v>
      </c>
      <c r="E28" s="2"/>
      <c r="F28" s="2"/>
    </row>
    <row r="29" spans="1:6" ht="28.5">
      <c r="A29" s="5" t="s">
        <v>126</v>
      </c>
      <c r="B29" s="5" t="s">
        <v>112</v>
      </c>
      <c r="C29" s="5" t="s">
        <v>127</v>
      </c>
      <c r="D29" s="2" t="s">
        <v>8</v>
      </c>
      <c r="E29" s="2"/>
      <c r="F29" s="2"/>
    </row>
    <row r="30" spans="1:6" ht="28.5">
      <c r="A30" s="5" t="s">
        <v>128</v>
      </c>
      <c r="B30" s="5" t="s">
        <v>112</v>
      </c>
      <c r="C30" s="5" t="s">
        <v>129</v>
      </c>
      <c r="D30" s="2" t="s">
        <v>8</v>
      </c>
      <c r="E30" s="2"/>
      <c r="F30" s="2"/>
    </row>
    <row r="31" spans="1:6" ht="28.5">
      <c r="A31" s="5" t="s">
        <v>130</v>
      </c>
      <c r="B31" s="5" t="s">
        <v>112</v>
      </c>
      <c r="C31" s="5" t="s">
        <v>131</v>
      </c>
      <c r="D31" s="2" t="s">
        <v>8</v>
      </c>
      <c r="E31" s="2"/>
      <c r="F31" s="2"/>
    </row>
    <row r="32" spans="1:6" ht="28.5">
      <c r="A32" s="5" t="s">
        <v>132</v>
      </c>
      <c r="B32" s="5" t="s">
        <v>112</v>
      </c>
      <c r="C32" s="5" t="s">
        <v>133</v>
      </c>
      <c r="D32" s="2" t="s">
        <v>8</v>
      </c>
      <c r="E32" s="2"/>
      <c r="F32" s="2"/>
    </row>
    <row r="33" spans="1:6">
      <c r="A33" s="5"/>
      <c r="B33" s="5"/>
      <c r="C33" s="5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</sheetData>
  <mergeCells count="1">
    <mergeCell ref="A1:D1"/>
  </mergeCells>
  <dataValidations count="1">
    <dataValidation type="list" sqref="D4:D100" xr:uid="{00000000-0002-0000-0000-000000000000}">
      <formula1>"Critical,High,Medium,Low"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selection sqref="A1:G1"/>
    </sheetView>
  </sheetViews>
  <sheetFormatPr defaultRowHeight="14.25"/>
  <cols>
    <col min="1" max="1" width="18" customWidth="1"/>
    <col min="2" max="2" width="20" customWidth="1"/>
    <col min="3" max="3" width="14" customWidth="1"/>
    <col min="4" max="4" width="48.375" customWidth="1"/>
    <col min="5" max="5" width="22" customWidth="1"/>
    <col min="6" max="6" width="12" customWidth="1"/>
    <col min="7" max="7" width="28" customWidth="1"/>
  </cols>
  <sheetData>
    <row r="1" spans="1:7" ht="18">
      <c r="A1" s="12" t="s">
        <v>364</v>
      </c>
      <c r="B1" s="12"/>
      <c r="C1" s="12"/>
      <c r="D1" s="12"/>
      <c r="E1" s="12"/>
      <c r="F1" s="12"/>
      <c r="G1" s="12"/>
    </row>
    <row r="3" spans="1:7" ht="15">
      <c r="A3" s="8" t="s">
        <v>16</v>
      </c>
      <c r="B3" s="8" t="s">
        <v>0</v>
      </c>
      <c r="C3" s="8" t="s">
        <v>1</v>
      </c>
      <c r="D3" s="8" t="s">
        <v>17</v>
      </c>
      <c r="E3" s="8" t="s">
        <v>18</v>
      </c>
      <c r="F3" s="8" t="s">
        <v>3</v>
      </c>
      <c r="G3" s="9" t="s">
        <v>4</v>
      </c>
    </row>
    <row r="4" spans="1:7" ht="28.5">
      <c r="A4" s="5" t="s">
        <v>19</v>
      </c>
      <c r="B4" s="5" t="s">
        <v>5</v>
      </c>
      <c r="C4" s="5" t="s">
        <v>6</v>
      </c>
      <c r="D4" s="5" t="s">
        <v>134</v>
      </c>
      <c r="E4" s="5" t="s">
        <v>20</v>
      </c>
      <c r="F4" s="5" t="s">
        <v>8</v>
      </c>
      <c r="G4" s="2"/>
    </row>
    <row r="5" spans="1:7" ht="28.5">
      <c r="A5" s="5" t="s">
        <v>21</v>
      </c>
      <c r="B5" s="5" t="s">
        <v>9</v>
      </c>
      <c r="C5" s="5" t="s">
        <v>6</v>
      </c>
      <c r="D5" s="5" t="s">
        <v>135</v>
      </c>
      <c r="E5" s="5" t="s">
        <v>22</v>
      </c>
      <c r="F5" s="5" t="s">
        <v>8</v>
      </c>
      <c r="G5" s="2"/>
    </row>
    <row r="6" spans="1:7" ht="28.5">
      <c r="A6" s="5" t="s">
        <v>23</v>
      </c>
      <c r="B6" s="5" t="s">
        <v>9</v>
      </c>
      <c r="C6" s="5" t="s">
        <v>6</v>
      </c>
      <c r="D6" s="5" t="s">
        <v>136</v>
      </c>
      <c r="E6" s="5" t="s">
        <v>22</v>
      </c>
      <c r="F6" s="5" t="s">
        <v>8</v>
      </c>
      <c r="G6" s="2"/>
    </row>
    <row r="7" spans="1:7" ht="28.5">
      <c r="A7" s="5" t="s">
        <v>24</v>
      </c>
      <c r="B7" s="5" t="s">
        <v>9</v>
      </c>
      <c r="C7" s="5" t="s">
        <v>6</v>
      </c>
      <c r="D7" s="5" t="s">
        <v>137</v>
      </c>
      <c r="E7" s="5" t="s">
        <v>22</v>
      </c>
      <c r="F7" s="5" t="s">
        <v>8</v>
      </c>
      <c r="G7" s="2"/>
    </row>
    <row r="8" spans="1:7">
      <c r="A8" s="5" t="s">
        <v>25</v>
      </c>
      <c r="B8" s="5" t="s">
        <v>11</v>
      </c>
      <c r="C8" s="5" t="s">
        <v>6</v>
      </c>
      <c r="D8" s="5" t="s">
        <v>138</v>
      </c>
      <c r="E8" s="5" t="s">
        <v>139</v>
      </c>
      <c r="F8" s="5" t="s">
        <v>8</v>
      </c>
      <c r="G8" s="2"/>
    </row>
    <row r="9" spans="1:7">
      <c r="A9" s="5" t="s">
        <v>27</v>
      </c>
      <c r="B9" s="5" t="s">
        <v>12</v>
      </c>
      <c r="C9" s="5" t="s">
        <v>6</v>
      </c>
      <c r="D9" s="5" t="s">
        <v>140</v>
      </c>
      <c r="E9" s="5" t="s">
        <v>139</v>
      </c>
      <c r="F9" s="5" t="s">
        <v>8</v>
      </c>
      <c r="G9" s="2"/>
    </row>
    <row r="10" spans="1:7" ht="28.5">
      <c r="A10" s="5" t="s">
        <v>141</v>
      </c>
      <c r="B10" s="5" t="s">
        <v>142</v>
      </c>
      <c r="C10" s="5" t="s">
        <v>6</v>
      </c>
      <c r="D10" s="5" t="s">
        <v>143</v>
      </c>
      <c r="E10" s="5" t="s">
        <v>139</v>
      </c>
      <c r="F10" s="5" t="s">
        <v>8</v>
      </c>
      <c r="G10" s="2"/>
    </row>
    <row r="11" spans="1:7">
      <c r="A11" s="5" t="s">
        <v>144</v>
      </c>
      <c r="B11" s="5" t="s">
        <v>14</v>
      </c>
      <c r="C11" s="5" t="s">
        <v>6</v>
      </c>
      <c r="D11" s="5" t="s">
        <v>145</v>
      </c>
      <c r="E11" s="5" t="s">
        <v>22</v>
      </c>
      <c r="F11" s="5" t="s">
        <v>8</v>
      </c>
      <c r="G11" s="2"/>
    </row>
    <row r="12" spans="1:7" ht="28.5">
      <c r="A12" s="5" t="s">
        <v>146</v>
      </c>
      <c r="B12" s="5" t="s">
        <v>83</v>
      </c>
      <c r="C12" s="5" t="s">
        <v>6</v>
      </c>
      <c r="D12" s="5" t="s">
        <v>147</v>
      </c>
      <c r="E12" s="5" t="s">
        <v>20</v>
      </c>
      <c r="F12" s="5" t="s">
        <v>8</v>
      </c>
      <c r="G12" s="2"/>
    </row>
    <row r="13" spans="1:7" ht="28.5">
      <c r="A13" s="5" t="s">
        <v>148</v>
      </c>
      <c r="B13" s="5" t="s">
        <v>88</v>
      </c>
      <c r="C13" s="5" t="s">
        <v>6</v>
      </c>
      <c r="D13" s="5" t="s">
        <v>149</v>
      </c>
      <c r="E13" s="5" t="s">
        <v>139</v>
      </c>
      <c r="F13" s="5" t="s">
        <v>26</v>
      </c>
      <c r="G13" s="2"/>
    </row>
    <row r="14" spans="1:7" ht="28.5">
      <c r="A14" s="5" t="s">
        <v>150</v>
      </c>
      <c r="B14" s="5" t="s">
        <v>90</v>
      </c>
      <c r="C14" s="5" t="s">
        <v>6</v>
      </c>
      <c r="D14" s="5" t="s">
        <v>151</v>
      </c>
      <c r="E14" s="5" t="s">
        <v>152</v>
      </c>
      <c r="F14" s="5" t="s">
        <v>26</v>
      </c>
      <c r="G14" s="2"/>
    </row>
    <row r="15" spans="1:7">
      <c r="A15" s="5" t="s">
        <v>153</v>
      </c>
      <c r="B15" s="5" t="s">
        <v>84</v>
      </c>
      <c r="C15" s="5" t="s">
        <v>85</v>
      </c>
      <c r="D15" s="5" t="s">
        <v>154</v>
      </c>
      <c r="E15" s="5" t="s">
        <v>20</v>
      </c>
      <c r="F15" s="5" t="s">
        <v>8</v>
      </c>
      <c r="G15" s="2"/>
    </row>
    <row r="16" spans="1:7">
      <c r="A16" s="5" t="s">
        <v>155</v>
      </c>
      <c r="B16" s="5" t="s">
        <v>93</v>
      </c>
      <c r="C16" s="5" t="s">
        <v>85</v>
      </c>
      <c r="D16" s="5" t="s">
        <v>156</v>
      </c>
      <c r="E16" s="5" t="s">
        <v>20</v>
      </c>
      <c r="F16" s="5" t="s">
        <v>8</v>
      </c>
      <c r="G16" s="2"/>
    </row>
    <row r="17" spans="1:7" ht="28.5">
      <c r="A17" s="5" t="s">
        <v>157</v>
      </c>
      <c r="B17" s="5" t="s">
        <v>95</v>
      </c>
      <c r="C17" s="5" t="s">
        <v>85</v>
      </c>
      <c r="D17" s="5" t="s">
        <v>158</v>
      </c>
      <c r="E17" s="5" t="s">
        <v>159</v>
      </c>
      <c r="F17" s="5" t="s">
        <v>8</v>
      </c>
      <c r="G17" s="2"/>
    </row>
    <row r="18" spans="1:7" ht="28.5">
      <c r="A18" s="5" t="s">
        <v>160</v>
      </c>
      <c r="B18" s="5" t="s">
        <v>95</v>
      </c>
      <c r="C18" s="5" t="s">
        <v>85</v>
      </c>
      <c r="D18" s="5" t="s">
        <v>161</v>
      </c>
      <c r="E18" s="5" t="s">
        <v>159</v>
      </c>
      <c r="F18" s="5" t="s">
        <v>8</v>
      </c>
      <c r="G18" s="2"/>
    </row>
    <row r="19" spans="1:7" ht="28.5">
      <c r="A19" s="5" t="s">
        <v>162</v>
      </c>
      <c r="B19" s="5" t="s">
        <v>97</v>
      </c>
      <c r="C19" s="5" t="s">
        <v>85</v>
      </c>
      <c r="D19" s="5" t="s">
        <v>163</v>
      </c>
      <c r="E19" s="5" t="s">
        <v>20</v>
      </c>
      <c r="F19" s="5" t="s">
        <v>8</v>
      </c>
      <c r="G19" s="2"/>
    </row>
    <row r="20" spans="1:7" ht="28.5">
      <c r="A20" s="5" t="s">
        <v>164</v>
      </c>
      <c r="B20" s="5" t="s">
        <v>99</v>
      </c>
      <c r="C20" s="5" t="s">
        <v>85</v>
      </c>
      <c r="D20" s="5" t="s">
        <v>165</v>
      </c>
      <c r="E20" s="5" t="s">
        <v>166</v>
      </c>
      <c r="F20" s="5" t="s">
        <v>26</v>
      </c>
      <c r="G20" s="2"/>
    </row>
    <row r="21" spans="1:7" ht="28.5">
      <c r="A21" s="5" t="s">
        <v>167</v>
      </c>
      <c r="B21" s="5" t="s">
        <v>101</v>
      </c>
      <c r="C21" s="5" t="s">
        <v>85</v>
      </c>
      <c r="D21" s="5" t="s">
        <v>168</v>
      </c>
      <c r="E21" s="5" t="s">
        <v>166</v>
      </c>
      <c r="F21" s="5" t="s">
        <v>26</v>
      </c>
      <c r="G21" s="2"/>
    </row>
    <row r="22" spans="1:7">
      <c r="A22" s="5" t="s">
        <v>169</v>
      </c>
      <c r="B22" s="5" t="s">
        <v>103</v>
      </c>
      <c r="C22" s="5" t="s">
        <v>85</v>
      </c>
      <c r="D22" s="5" t="s">
        <v>170</v>
      </c>
      <c r="E22" s="5" t="s">
        <v>20</v>
      </c>
      <c r="F22" s="5" t="s">
        <v>8</v>
      </c>
      <c r="G22" s="2"/>
    </row>
    <row r="23" spans="1:7" ht="28.5">
      <c r="A23" s="5" t="s">
        <v>171</v>
      </c>
      <c r="B23" s="5" t="s">
        <v>105</v>
      </c>
      <c r="C23" s="5" t="s">
        <v>85</v>
      </c>
      <c r="D23" s="5" t="s">
        <v>172</v>
      </c>
      <c r="E23" s="5" t="s">
        <v>159</v>
      </c>
      <c r="F23" s="5" t="s">
        <v>8</v>
      </c>
      <c r="G23" s="2"/>
    </row>
    <row r="24" spans="1:7" ht="28.5">
      <c r="A24" s="5" t="s">
        <v>173</v>
      </c>
      <c r="B24" s="5" t="s">
        <v>107</v>
      </c>
      <c r="C24" s="5" t="s">
        <v>85</v>
      </c>
      <c r="D24" s="5" t="s">
        <v>174</v>
      </c>
      <c r="E24" s="5" t="s">
        <v>175</v>
      </c>
      <c r="F24" s="5" t="s">
        <v>26</v>
      </c>
      <c r="G24" s="2"/>
    </row>
    <row r="25" spans="1:7" ht="28.5">
      <c r="A25" s="5" t="s">
        <v>176</v>
      </c>
      <c r="B25" s="5" t="s">
        <v>109</v>
      </c>
      <c r="C25" s="5" t="s">
        <v>85</v>
      </c>
      <c r="D25" s="5" t="s">
        <v>177</v>
      </c>
      <c r="E25" s="5" t="s">
        <v>20</v>
      </c>
      <c r="F25" s="5" t="s">
        <v>8</v>
      </c>
      <c r="G25" s="2"/>
    </row>
    <row r="26" spans="1:7" ht="28.5">
      <c r="A26" s="5" t="s">
        <v>178</v>
      </c>
      <c r="B26" s="5" t="s">
        <v>111</v>
      </c>
      <c r="C26" s="5" t="s">
        <v>112</v>
      </c>
      <c r="D26" s="5" t="s">
        <v>179</v>
      </c>
      <c r="E26" s="5" t="s">
        <v>20</v>
      </c>
      <c r="F26" s="5" t="s">
        <v>8</v>
      </c>
      <c r="G26" s="2"/>
    </row>
    <row r="27" spans="1:7" ht="28.5">
      <c r="A27" s="5" t="s">
        <v>180</v>
      </c>
      <c r="B27" s="5" t="s">
        <v>114</v>
      </c>
      <c r="C27" s="5" t="s">
        <v>112</v>
      </c>
      <c r="D27" s="5" t="s">
        <v>181</v>
      </c>
      <c r="E27" s="5" t="s">
        <v>139</v>
      </c>
      <c r="F27" s="5" t="s">
        <v>8</v>
      </c>
      <c r="G27" s="2"/>
    </row>
    <row r="28" spans="1:7" ht="28.5">
      <c r="A28" s="5" t="s">
        <v>182</v>
      </c>
      <c r="B28" s="5" t="s">
        <v>116</v>
      </c>
      <c r="C28" s="5" t="s">
        <v>112</v>
      </c>
      <c r="D28" s="5" t="s">
        <v>183</v>
      </c>
      <c r="E28" s="5" t="s">
        <v>139</v>
      </c>
      <c r="F28" s="5" t="s">
        <v>8</v>
      </c>
      <c r="G28" s="2"/>
    </row>
    <row r="29" spans="1:7" ht="28.5">
      <c r="A29" s="5" t="s">
        <v>184</v>
      </c>
      <c r="B29" s="5" t="s">
        <v>118</v>
      </c>
      <c r="C29" s="5" t="s">
        <v>112</v>
      </c>
      <c r="D29" s="5" t="s">
        <v>185</v>
      </c>
      <c r="E29" s="5" t="s">
        <v>139</v>
      </c>
      <c r="F29" s="5" t="s">
        <v>8</v>
      </c>
      <c r="G29" s="2"/>
    </row>
    <row r="30" spans="1:7" ht="28.5">
      <c r="A30" s="5" t="s">
        <v>186</v>
      </c>
      <c r="B30" s="5" t="s">
        <v>120</v>
      </c>
      <c r="C30" s="5" t="s">
        <v>112</v>
      </c>
      <c r="D30" s="5" t="s">
        <v>187</v>
      </c>
      <c r="E30" s="5" t="s">
        <v>20</v>
      </c>
      <c r="F30" s="5" t="s">
        <v>8</v>
      </c>
      <c r="G30" s="2"/>
    </row>
    <row r="31" spans="1:7" ht="28.5">
      <c r="A31" s="5" t="s">
        <v>188</v>
      </c>
      <c r="B31" s="5" t="s">
        <v>122</v>
      </c>
      <c r="C31" s="5" t="s">
        <v>112</v>
      </c>
      <c r="D31" s="5" t="s">
        <v>189</v>
      </c>
      <c r="E31" s="5" t="s">
        <v>166</v>
      </c>
      <c r="F31" s="5" t="s">
        <v>8</v>
      </c>
      <c r="G31" s="2"/>
    </row>
    <row r="32" spans="1:7" ht="28.5">
      <c r="A32" s="5" t="s">
        <v>190</v>
      </c>
      <c r="B32" s="5" t="s">
        <v>124</v>
      </c>
      <c r="C32" s="5" t="s">
        <v>112</v>
      </c>
      <c r="D32" s="5" t="s">
        <v>191</v>
      </c>
      <c r="E32" s="5" t="s">
        <v>166</v>
      </c>
      <c r="F32" s="5" t="s">
        <v>8</v>
      </c>
      <c r="G32" s="2"/>
    </row>
    <row r="33" spans="1:7" ht="28.5">
      <c r="A33" s="5" t="s">
        <v>192</v>
      </c>
      <c r="B33" s="5" t="s">
        <v>126</v>
      </c>
      <c r="C33" s="5" t="s">
        <v>112</v>
      </c>
      <c r="D33" s="5" t="s">
        <v>193</v>
      </c>
      <c r="E33" s="5" t="s">
        <v>194</v>
      </c>
      <c r="F33" s="5" t="s">
        <v>8</v>
      </c>
      <c r="G33" s="2"/>
    </row>
    <row r="34" spans="1:7" ht="28.5">
      <c r="A34" s="5" t="s">
        <v>195</v>
      </c>
      <c r="B34" s="5" t="s">
        <v>128</v>
      </c>
      <c r="C34" s="5" t="s">
        <v>112</v>
      </c>
      <c r="D34" s="5" t="s">
        <v>196</v>
      </c>
      <c r="E34" s="5" t="s">
        <v>197</v>
      </c>
      <c r="F34" s="5" t="s">
        <v>76</v>
      </c>
      <c r="G34" s="2"/>
    </row>
    <row r="35" spans="1:7" ht="28.5">
      <c r="A35" s="5" t="s">
        <v>198</v>
      </c>
      <c r="B35" s="5" t="s">
        <v>130</v>
      </c>
      <c r="C35" s="5" t="s">
        <v>112</v>
      </c>
      <c r="D35" s="5" t="s">
        <v>199</v>
      </c>
      <c r="E35" s="5" t="s">
        <v>20</v>
      </c>
      <c r="F35" s="5" t="s">
        <v>8</v>
      </c>
      <c r="G35" s="2"/>
    </row>
    <row r="36" spans="1:7" ht="28.5">
      <c r="A36" s="5" t="s">
        <v>200</v>
      </c>
      <c r="B36" s="5" t="s">
        <v>132</v>
      </c>
      <c r="C36" s="5" t="s">
        <v>112</v>
      </c>
      <c r="D36" s="5" t="s">
        <v>201</v>
      </c>
      <c r="E36" s="5" t="s">
        <v>20</v>
      </c>
      <c r="F36" s="5" t="s">
        <v>26</v>
      </c>
      <c r="G36" s="2"/>
    </row>
    <row r="37" spans="1:7">
      <c r="A37" s="5"/>
      <c r="B37" s="5"/>
      <c r="C37" s="5"/>
      <c r="D37" s="5"/>
      <c r="E37" s="5"/>
      <c r="F37" s="5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</sheetData>
  <mergeCells count="1">
    <mergeCell ref="A1:G1"/>
  </mergeCells>
  <phoneticPr fontId="4" type="noConversion"/>
  <dataValidations count="2">
    <dataValidation type="list" sqref="F38:F100" xr:uid="{00000000-0002-0000-0100-000000000000}">
      <formula1>"Critical,High,Medium,Low"</formula1>
    </dataValidation>
    <dataValidation type="list" sqref="E38:E100" xr:uid="{00000000-0002-0000-0100-000001000000}">
      <formula1>"Positive / Functional,Negative / Functional,Validation,Business Rule,Navigation,Edge / Exploratory,Regression,Smoke"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0"/>
  <sheetViews>
    <sheetView tabSelected="1" zoomScale="85" zoomScaleNormal="85" workbookViewId="0">
      <selection activeCell="D2" sqref="D2"/>
    </sheetView>
  </sheetViews>
  <sheetFormatPr defaultRowHeight="14.25"/>
  <cols>
    <col min="1" max="1" width="16" customWidth="1"/>
    <col min="2" max="2" width="18" customWidth="1"/>
    <col min="3" max="3" width="12" customWidth="1"/>
    <col min="4" max="4" width="38.625" customWidth="1"/>
    <col min="5" max="5" width="12" customWidth="1"/>
    <col min="6" max="6" width="30" customWidth="1"/>
    <col min="7" max="8" width="28" customWidth="1"/>
    <col min="9" max="9" width="40" customWidth="1"/>
    <col min="10" max="11" width="38" customWidth="1"/>
    <col min="12" max="13" width="12" customWidth="1"/>
    <col min="14" max="14" width="11.25" customWidth="1"/>
    <col min="15" max="15" width="12" customWidth="1"/>
  </cols>
  <sheetData>
    <row r="1" spans="1:15" ht="18">
      <c r="A1" s="12" t="s">
        <v>362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1"/>
      <c r="O1" s="11"/>
    </row>
    <row r="3" spans="1:15" ht="15">
      <c r="A3" s="1" t="s">
        <v>28</v>
      </c>
      <c r="B3" s="1" t="s">
        <v>16</v>
      </c>
      <c r="C3" s="1" t="s">
        <v>1</v>
      </c>
      <c r="D3" s="1" t="s">
        <v>17</v>
      </c>
      <c r="E3" s="1" t="s">
        <v>18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</v>
      </c>
    </row>
    <row r="4" spans="1:15" ht="42.75">
      <c r="A4" s="5" t="s">
        <v>36</v>
      </c>
      <c r="B4" s="5" t="s">
        <v>19</v>
      </c>
      <c r="C4" s="5" t="s">
        <v>6</v>
      </c>
      <c r="D4" s="2" t="str">
        <f>VLOOKUP(B4,'Test Scenarios'!$A$3:$G$37,4,0)</f>
        <v>Verify that a user can log in with valid username and password.</v>
      </c>
      <c r="E4" s="2" t="str">
        <f>VLOOKUP('Test Cases'!B4,'Test Scenarios'!$A$3:$G$37,5,0)</f>
        <v>Positive / Functional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332</v>
      </c>
      <c r="L4" s="5" t="s">
        <v>331</v>
      </c>
      <c r="M4" s="5" t="s">
        <v>8</v>
      </c>
      <c r="N4" s="2"/>
      <c r="O4" s="2"/>
    </row>
    <row r="5" spans="1:15" ht="57">
      <c r="A5" s="5" t="s">
        <v>43</v>
      </c>
      <c r="B5" s="5" t="s">
        <v>21</v>
      </c>
      <c r="C5" s="5" t="s">
        <v>6</v>
      </c>
      <c r="D5" s="2" t="str">
        <f>VLOOKUP(B5,'Test Scenarios'!$A$3:$G$37,4,0)</f>
        <v>Verify that login is rejected when the username is invalid and password is valid.</v>
      </c>
      <c r="E5" s="2" t="str">
        <f>VLOOKUP('Test Cases'!B5,'Test Scenarios'!$A$3:$G$37,5,0)</f>
        <v>Negative / Functional</v>
      </c>
      <c r="F5" s="5" t="s">
        <v>44</v>
      </c>
      <c r="G5" s="5" t="s">
        <v>38</v>
      </c>
      <c r="H5" s="5" t="s">
        <v>45</v>
      </c>
      <c r="I5" s="5" t="s">
        <v>46</v>
      </c>
      <c r="J5" s="5" t="s">
        <v>202</v>
      </c>
      <c r="K5" s="5" t="s">
        <v>335</v>
      </c>
      <c r="L5" s="5" t="s">
        <v>331</v>
      </c>
      <c r="M5" s="5" t="s">
        <v>8</v>
      </c>
      <c r="N5" s="2"/>
      <c r="O5" s="2"/>
    </row>
    <row r="6" spans="1:15" ht="57">
      <c r="A6" s="5" t="s">
        <v>47</v>
      </c>
      <c r="B6" s="5" t="s">
        <v>23</v>
      </c>
      <c r="C6" s="5" t="s">
        <v>6</v>
      </c>
      <c r="D6" s="2" t="str">
        <f>VLOOKUP(B6,'Test Scenarios'!$A$3:$G$37,4,0)</f>
        <v>Verify that login is rejected when the username is valid and password is invalid.</v>
      </c>
      <c r="E6" s="2" t="str">
        <f>VLOOKUP('Test Cases'!B6,'Test Scenarios'!$A$3:$G$37,5,0)</f>
        <v>Negative / Functional</v>
      </c>
      <c r="F6" s="5" t="s">
        <v>48</v>
      </c>
      <c r="G6" s="5" t="s">
        <v>38</v>
      </c>
      <c r="H6" s="5" t="s">
        <v>49</v>
      </c>
      <c r="I6" s="5" t="s">
        <v>50</v>
      </c>
      <c r="J6" s="5" t="s">
        <v>202</v>
      </c>
      <c r="K6" s="5" t="s">
        <v>335</v>
      </c>
      <c r="L6" s="5" t="s">
        <v>331</v>
      </c>
      <c r="M6" s="5" t="s">
        <v>8</v>
      </c>
      <c r="N6" s="2"/>
      <c r="O6" s="2"/>
    </row>
    <row r="7" spans="1:15" ht="57">
      <c r="A7" s="5" t="s">
        <v>51</v>
      </c>
      <c r="B7" s="5" t="s">
        <v>24</v>
      </c>
      <c r="C7" s="5" t="s">
        <v>6</v>
      </c>
      <c r="D7" s="2" t="str">
        <f>VLOOKUP(B7,'Test Scenarios'!$A$3:$G$37,4,0)</f>
        <v>Verify that login is rejected when both username and password are invalid.</v>
      </c>
      <c r="E7" s="2" t="str">
        <f>VLOOKUP('Test Cases'!B7,'Test Scenarios'!$A$3:$G$37,5,0)</f>
        <v>Negative / Functional</v>
      </c>
      <c r="F7" s="5" t="s">
        <v>209</v>
      </c>
      <c r="G7" s="5" t="s">
        <v>38</v>
      </c>
      <c r="H7" s="5" t="s">
        <v>203</v>
      </c>
      <c r="I7" s="5" t="s">
        <v>216</v>
      </c>
      <c r="J7" s="5" t="s">
        <v>202</v>
      </c>
      <c r="K7" s="5" t="s">
        <v>335</v>
      </c>
      <c r="L7" s="5" t="s">
        <v>331</v>
      </c>
      <c r="M7" s="5" t="s">
        <v>8</v>
      </c>
      <c r="N7" s="2"/>
      <c r="O7" s="2"/>
    </row>
    <row r="8" spans="1:15" ht="42.75">
      <c r="A8" s="5" t="s">
        <v>54</v>
      </c>
      <c r="B8" s="5" t="s">
        <v>25</v>
      </c>
      <c r="C8" s="5" t="s">
        <v>6</v>
      </c>
      <c r="D8" s="2" t="str">
        <f>VLOOKUP(B8,'Test Scenarios'!$A$3:$G$37,4,0)</f>
        <v>Verify that login is rejected when username is blank.</v>
      </c>
      <c r="E8" s="2" t="str">
        <f>VLOOKUP('Test Cases'!B8,'Test Scenarios'!$A$3:$G$37,5,0)</f>
        <v>Negative / Validation</v>
      </c>
      <c r="F8" s="5" t="s">
        <v>52</v>
      </c>
      <c r="G8" s="5" t="s">
        <v>38</v>
      </c>
      <c r="H8" s="5" t="s">
        <v>53</v>
      </c>
      <c r="I8" s="5" t="s">
        <v>217</v>
      </c>
      <c r="J8" s="5" t="s">
        <v>204</v>
      </c>
      <c r="K8" s="5" t="s">
        <v>336</v>
      </c>
      <c r="L8" s="5" t="s">
        <v>331</v>
      </c>
      <c r="M8" s="5" t="s">
        <v>8</v>
      </c>
      <c r="N8" s="2"/>
      <c r="O8" s="2"/>
    </row>
    <row r="9" spans="1:15" ht="42.75">
      <c r="A9" s="5" t="s">
        <v>57</v>
      </c>
      <c r="B9" s="5" t="s">
        <v>27</v>
      </c>
      <c r="C9" s="5" t="s">
        <v>6</v>
      </c>
      <c r="D9" s="2" t="str">
        <f>VLOOKUP(B9,'Test Scenarios'!$A$3:$G$37,4,0)</f>
        <v>Verify that login is rejected when password is blank.</v>
      </c>
      <c r="E9" s="2" t="str">
        <f>VLOOKUP('Test Cases'!B9,'Test Scenarios'!$A$3:$G$37,5,0)</f>
        <v>Negative / Validation</v>
      </c>
      <c r="F9" s="5" t="s">
        <v>55</v>
      </c>
      <c r="G9" s="5" t="s">
        <v>38</v>
      </c>
      <c r="H9" s="5" t="s">
        <v>56</v>
      </c>
      <c r="I9" s="5" t="s">
        <v>218</v>
      </c>
      <c r="J9" s="5" t="s">
        <v>205</v>
      </c>
      <c r="K9" s="5" t="s">
        <v>337</v>
      </c>
      <c r="L9" s="5" t="s">
        <v>331</v>
      </c>
      <c r="M9" s="5" t="s">
        <v>8</v>
      </c>
      <c r="N9" s="2"/>
      <c r="O9" s="2"/>
    </row>
    <row r="10" spans="1:15" ht="42.75">
      <c r="A10" s="5" t="s">
        <v>61</v>
      </c>
      <c r="B10" s="5" t="s">
        <v>141</v>
      </c>
      <c r="C10" s="5" t="s">
        <v>6</v>
      </c>
      <c r="D10" s="2" t="str">
        <f>VLOOKUP(B10,'Test Scenarios'!$A$3:$G$37,4,0)</f>
        <v>Verify that login is rejected when both username and password are blank.</v>
      </c>
      <c r="E10" s="2" t="str">
        <f>VLOOKUP('Test Cases'!B10,'Test Scenarios'!$A$3:$G$37,5,0)</f>
        <v>Negative / Validation</v>
      </c>
      <c r="F10" s="5" t="s">
        <v>58</v>
      </c>
      <c r="G10" s="5" t="s">
        <v>38</v>
      </c>
      <c r="H10" s="5" t="s">
        <v>59</v>
      </c>
      <c r="I10" s="5" t="s">
        <v>60</v>
      </c>
      <c r="J10" s="5" t="s">
        <v>206</v>
      </c>
      <c r="K10" s="5" t="s">
        <v>336</v>
      </c>
      <c r="L10" s="5" t="s">
        <v>331</v>
      </c>
      <c r="M10" s="5" t="s">
        <v>8</v>
      </c>
      <c r="N10" s="2"/>
      <c r="O10" s="2"/>
    </row>
    <row r="11" spans="1:15" ht="42.75">
      <c r="A11" s="5" t="s">
        <v>64</v>
      </c>
      <c r="B11" s="5" t="s">
        <v>144</v>
      </c>
      <c r="C11" s="5" t="s">
        <v>6</v>
      </c>
      <c r="D11" s="2" t="str">
        <f>VLOOKUP(B11,'Test Scenarios'!$A$3:$G$37,4,0)</f>
        <v>Verify that a locked user cannot log in.</v>
      </c>
      <c r="E11" s="2" t="str">
        <f>VLOOKUP('Test Cases'!B11,'Test Scenarios'!$A$3:$G$37,5,0)</f>
        <v>Negative / Functional</v>
      </c>
      <c r="F11" s="5" t="s">
        <v>62</v>
      </c>
      <c r="G11" s="5" t="s">
        <v>38</v>
      </c>
      <c r="H11" s="5" t="s">
        <v>63</v>
      </c>
      <c r="I11" s="5" t="s">
        <v>219</v>
      </c>
      <c r="J11" s="5" t="s">
        <v>210</v>
      </c>
      <c r="K11" s="5" t="s">
        <v>338</v>
      </c>
      <c r="L11" s="5" t="s">
        <v>331</v>
      </c>
      <c r="M11" s="5" t="s">
        <v>8</v>
      </c>
      <c r="N11" s="2"/>
      <c r="O11" s="2"/>
    </row>
    <row r="12" spans="1:15" ht="28.5">
      <c r="A12" s="5" t="s">
        <v>66</v>
      </c>
      <c r="B12" s="5" t="s">
        <v>146</v>
      </c>
      <c r="C12" s="5" t="s">
        <v>6</v>
      </c>
      <c r="D12" s="2" t="str">
        <f>VLOOKUP(B12,'Test Scenarios'!$A$3:$G$37,4,0)</f>
        <v>Verify that successful login redirects the user to the inventory page.</v>
      </c>
      <c r="E12" s="2" t="str">
        <f>VLOOKUP('Test Cases'!B12,'Test Scenarios'!$A$3:$G$37,5,0)</f>
        <v>Positive / Functional</v>
      </c>
      <c r="F12" s="5" t="s">
        <v>65</v>
      </c>
      <c r="G12" s="5" t="s">
        <v>38</v>
      </c>
      <c r="H12" s="5" t="s">
        <v>39</v>
      </c>
      <c r="I12" s="5" t="s">
        <v>220</v>
      </c>
      <c r="J12" s="5" t="s">
        <v>211</v>
      </c>
      <c r="K12" s="5" t="s">
        <v>333</v>
      </c>
      <c r="L12" s="5" t="s">
        <v>331</v>
      </c>
      <c r="M12" s="5" t="s">
        <v>8</v>
      </c>
      <c r="N12" s="2"/>
      <c r="O12" s="2"/>
    </row>
    <row r="13" spans="1:15" ht="42.75">
      <c r="A13" s="5" t="s">
        <v>67</v>
      </c>
      <c r="B13" s="5" t="s">
        <v>148</v>
      </c>
      <c r="C13" s="5" t="s">
        <v>6</v>
      </c>
      <c r="D13" s="2" t="str">
        <f>VLOOKUP(B13,'Test Scenarios'!$A$3:$G$37,4,0)</f>
        <v>Verify that an appropriate error message is displayed after failed login.</v>
      </c>
      <c r="E13" s="2" t="str">
        <f>VLOOKUP('Test Cases'!B13,'Test Scenarios'!$A$3:$G$37,5,0)</f>
        <v>Negative / Validation</v>
      </c>
      <c r="F13" s="5" t="s">
        <v>212</v>
      </c>
      <c r="G13" s="5" t="s">
        <v>38</v>
      </c>
      <c r="H13" s="5" t="s">
        <v>203</v>
      </c>
      <c r="I13" s="5" t="s">
        <v>221</v>
      </c>
      <c r="J13" s="5" t="s">
        <v>213</v>
      </c>
      <c r="K13" s="5" t="s">
        <v>339</v>
      </c>
      <c r="L13" s="5" t="s">
        <v>331</v>
      </c>
      <c r="M13" s="5" t="s">
        <v>8</v>
      </c>
      <c r="N13" s="2"/>
      <c r="O13" s="2"/>
    </row>
    <row r="14" spans="1:15" ht="42.75">
      <c r="A14" s="5" t="s">
        <v>207</v>
      </c>
      <c r="B14" s="5" t="s">
        <v>150</v>
      </c>
      <c r="C14" s="5" t="s">
        <v>6</v>
      </c>
      <c r="D14" s="2" t="str">
        <f>VLOOKUP(B14,'Test Scenarios'!$A$3:$G$37,4,0)</f>
        <v>Verify that characters entered in the password field are masked.</v>
      </c>
      <c r="E14" s="2" t="str">
        <f>VLOOKUP('Test Cases'!B14,'Test Scenarios'!$A$3:$G$37,5,0)</f>
        <v>UI / Security</v>
      </c>
      <c r="F14" s="5" t="s">
        <v>214</v>
      </c>
      <c r="G14" s="5" t="s">
        <v>38</v>
      </c>
      <c r="H14" s="5" t="s">
        <v>208</v>
      </c>
      <c r="I14" s="5" t="s">
        <v>222</v>
      </c>
      <c r="J14" s="5" t="s">
        <v>215</v>
      </c>
      <c r="K14" s="5" t="s">
        <v>340</v>
      </c>
      <c r="L14" s="5" t="s">
        <v>331</v>
      </c>
      <c r="M14" s="5" t="s">
        <v>8</v>
      </c>
      <c r="N14" s="2"/>
      <c r="O14" s="2"/>
    </row>
    <row r="15" spans="1:15" ht="28.5">
      <c r="A15" s="5" t="s">
        <v>223</v>
      </c>
      <c r="B15" s="5" t="s">
        <v>153</v>
      </c>
      <c r="C15" s="5" t="s">
        <v>85</v>
      </c>
      <c r="D15" s="2" t="str">
        <f>VLOOKUP(B15,'Test Scenarios'!$A$3:$G$37,4,0)</f>
        <v>Verify that a user can add one product to the cart.</v>
      </c>
      <c r="E15" s="2" t="str">
        <f>VLOOKUP('Test Cases'!B15,'Test Scenarios'!$A$3:$G$37,5,0)</f>
        <v>Positive / Functional</v>
      </c>
      <c r="F15" s="5" t="s">
        <v>224</v>
      </c>
      <c r="G15" s="5" t="s">
        <v>225</v>
      </c>
      <c r="H15" s="5" t="s">
        <v>226</v>
      </c>
      <c r="I15" s="5" t="s">
        <v>268</v>
      </c>
      <c r="J15" s="5" t="s">
        <v>227</v>
      </c>
      <c r="K15" s="5" t="s">
        <v>341</v>
      </c>
      <c r="L15" s="5" t="s">
        <v>331</v>
      </c>
      <c r="M15" s="5" t="s">
        <v>8</v>
      </c>
      <c r="N15" s="2"/>
      <c r="O15" s="2"/>
    </row>
    <row r="16" spans="1:15" ht="42.75">
      <c r="A16" s="5" t="s">
        <v>228</v>
      </c>
      <c r="B16" s="5" t="s">
        <v>155</v>
      </c>
      <c r="C16" s="5" t="s">
        <v>85</v>
      </c>
      <c r="D16" s="2" t="str">
        <f>VLOOKUP(B16,'Test Scenarios'!$A$3:$G$37,4,0)</f>
        <v>Verify that a user can add multiple products to the cart.</v>
      </c>
      <c r="E16" s="2" t="str">
        <f>VLOOKUP('Test Cases'!B16,'Test Scenarios'!$A$3:$G$37,5,0)</f>
        <v>Positive / Functional</v>
      </c>
      <c r="F16" s="5" t="s">
        <v>229</v>
      </c>
      <c r="G16" s="5" t="s">
        <v>225</v>
      </c>
      <c r="H16" s="5" t="s">
        <v>230</v>
      </c>
      <c r="I16" s="5" t="s">
        <v>269</v>
      </c>
      <c r="J16" s="5" t="s">
        <v>231</v>
      </c>
      <c r="K16" s="5" t="s">
        <v>342</v>
      </c>
      <c r="L16" s="5" t="s">
        <v>331</v>
      </c>
      <c r="M16" s="5" t="s">
        <v>8</v>
      </c>
      <c r="N16" s="2"/>
      <c r="O16" s="2"/>
    </row>
    <row r="17" spans="1:15" ht="28.5">
      <c r="A17" s="5" t="s">
        <v>232</v>
      </c>
      <c r="B17" s="5" t="s">
        <v>157</v>
      </c>
      <c r="C17" s="5" t="s">
        <v>85</v>
      </c>
      <c r="D17" s="2" t="str">
        <f>VLOOKUP(B17,'Test Scenarios'!$A$3:$G$37,4,0)</f>
        <v>Verify that the cart badge displays the correct quantity after adding one item.</v>
      </c>
      <c r="E17" s="2" t="str">
        <f>VLOOKUP('Test Cases'!B17,'Test Scenarios'!$A$3:$G$37,5,0)</f>
        <v>Functional</v>
      </c>
      <c r="F17" s="5" t="s">
        <v>233</v>
      </c>
      <c r="G17" s="5" t="s">
        <v>234</v>
      </c>
      <c r="H17" s="5" t="s">
        <v>226</v>
      </c>
      <c r="I17" s="5" t="s">
        <v>270</v>
      </c>
      <c r="J17" s="5" t="s">
        <v>235</v>
      </c>
      <c r="K17" s="5" t="s">
        <v>343</v>
      </c>
      <c r="L17" s="5" t="s">
        <v>331</v>
      </c>
      <c r="M17" s="5" t="s">
        <v>8</v>
      </c>
      <c r="N17" s="2"/>
      <c r="O17" s="2"/>
    </row>
    <row r="18" spans="1:15" ht="28.5">
      <c r="A18" s="5" t="s">
        <v>236</v>
      </c>
      <c r="B18" s="5" t="s">
        <v>160</v>
      </c>
      <c r="C18" s="5" t="s">
        <v>85</v>
      </c>
      <c r="D18" s="2" t="str">
        <f>VLOOKUP(B18,'Test Scenarios'!$A$3:$G$37,4,0)</f>
        <v>Verify that the cart badge displays the correct quantity after adding multiple items.</v>
      </c>
      <c r="E18" s="2" t="str">
        <f>VLOOKUP('Test Cases'!B18,'Test Scenarios'!$A$3:$G$37,5,0)</f>
        <v>Functional</v>
      </c>
      <c r="F18" s="5" t="s">
        <v>237</v>
      </c>
      <c r="G18" s="5" t="s">
        <v>234</v>
      </c>
      <c r="H18" s="5" t="s">
        <v>238</v>
      </c>
      <c r="I18" s="5" t="s">
        <v>271</v>
      </c>
      <c r="J18" s="5" t="s">
        <v>239</v>
      </c>
      <c r="K18" s="5" t="s">
        <v>344</v>
      </c>
      <c r="L18" s="5" t="s">
        <v>331</v>
      </c>
      <c r="M18" s="5" t="s">
        <v>8</v>
      </c>
      <c r="N18" s="2"/>
      <c r="O18" s="2"/>
    </row>
    <row r="19" spans="1:15" ht="28.5">
      <c r="A19" s="5" t="s">
        <v>240</v>
      </c>
      <c r="B19" s="5" t="s">
        <v>162</v>
      </c>
      <c r="C19" s="5" t="s">
        <v>85</v>
      </c>
      <c r="D19" s="2" t="str">
        <f>VLOOKUP(B19,'Test Scenarios'!$A$3:$G$37,4,0)</f>
        <v>Verify that products added to the cart are displayed on the cart page.</v>
      </c>
      <c r="E19" s="2" t="str">
        <f>VLOOKUP('Test Cases'!B19,'Test Scenarios'!$A$3:$G$37,5,0)</f>
        <v>Positive / Functional</v>
      </c>
      <c r="F19" s="5" t="s">
        <v>241</v>
      </c>
      <c r="G19" s="5" t="s">
        <v>242</v>
      </c>
      <c r="H19" s="5" t="s">
        <v>226</v>
      </c>
      <c r="I19" s="5" t="s">
        <v>272</v>
      </c>
      <c r="J19" s="5" t="s">
        <v>243</v>
      </c>
      <c r="K19" s="5" t="s">
        <v>359</v>
      </c>
      <c r="L19" s="5" t="s">
        <v>331</v>
      </c>
      <c r="M19" s="5" t="s">
        <v>8</v>
      </c>
      <c r="N19" s="2"/>
      <c r="O19" s="2"/>
    </row>
    <row r="20" spans="1:15" ht="57">
      <c r="A20" s="5" t="s">
        <v>244</v>
      </c>
      <c r="B20" s="5" t="s">
        <v>164</v>
      </c>
      <c r="C20" s="5" t="s">
        <v>85</v>
      </c>
      <c r="D20" s="2" t="str">
        <f>VLOOKUP(B20,'Test Scenarios'!$A$3:$G$37,4,0)</f>
        <v>Verify that the product name in the cart matches the product selected from inventory.</v>
      </c>
      <c r="E20" s="2" t="str">
        <f>VLOOKUP('Test Cases'!B20,'Test Scenarios'!$A$3:$G$37,5,0)</f>
        <v>Data Validation</v>
      </c>
      <c r="F20" s="5" t="s">
        <v>245</v>
      </c>
      <c r="G20" s="5" t="s">
        <v>225</v>
      </c>
      <c r="H20" s="5" t="s">
        <v>226</v>
      </c>
      <c r="I20" s="5" t="s">
        <v>316</v>
      </c>
      <c r="J20" s="5" t="s">
        <v>246</v>
      </c>
      <c r="K20" s="5" t="s">
        <v>360</v>
      </c>
      <c r="L20" s="5" t="s">
        <v>331</v>
      </c>
      <c r="M20" s="5" t="s">
        <v>8</v>
      </c>
      <c r="N20" s="2"/>
      <c r="O20" s="2"/>
    </row>
    <row r="21" spans="1:15" ht="57">
      <c r="A21" s="5" t="s">
        <v>247</v>
      </c>
      <c r="B21" s="5" t="s">
        <v>167</v>
      </c>
      <c r="C21" s="5" t="s">
        <v>85</v>
      </c>
      <c r="D21" s="2" t="str">
        <f>VLOOKUP(B21,'Test Scenarios'!$A$3:$G$37,4,0)</f>
        <v>Verify that the product price in the cart matches the inventory price.</v>
      </c>
      <c r="E21" s="2" t="str">
        <f>VLOOKUP('Test Cases'!B21,'Test Scenarios'!$A$3:$G$37,5,0)</f>
        <v>Data Validation</v>
      </c>
      <c r="F21" s="5" t="s">
        <v>248</v>
      </c>
      <c r="G21" s="5" t="s">
        <v>225</v>
      </c>
      <c r="H21" s="5" t="s">
        <v>226</v>
      </c>
      <c r="I21" s="5" t="s">
        <v>317</v>
      </c>
      <c r="J21" s="5" t="s">
        <v>249</v>
      </c>
      <c r="K21" s="5" t="s">
        <v>361</v>
      </c>
      <c r="L21" s="5" t="s">
        <v>331</v>
      </c>
      <c r="M21" s="5" t="s">
        <v>8</v>
      </c>
      <c r="N21" s="2"/>
      <c r="O21" s="2"/>
    </row>
    <row r="22" spans="1:15" ht="42.75">
      <c r="A22" s="5" t="s">
        <v>250</v>
      </c>
      <c r="B22" s="5" t="s">
        <v>169</v>
      </c>
      <c r="C22" s="5" t="s">
        <v>85</v>
      </c>
      <c r="D22" s="2" t="str">
        <f>VLOOKUP(B22,'Test Scenarios'!$A$3:$G$37,4,0)</f>
        <v>Verify that a user can remove a product from the cart.</v>
      </c>
      <c r="E22" s="2" t="str">
        <f>VLOOKUP('Test Cases'!B22,'Test Scenarios'!$A$3:$G$37,5,0)</f>
        <v>Positive / Functional</v>
      </c>
      <c r="F22" s="5" t="s">
        <v>251</v>
      </c>
      <c r="G22" s="5" t="s">
        <v>252</v>
      </c>
      <c r="H22" s="5" t="s">
        <v>226</v>
      </c>
      <c r="I22" s="5" t="s">
        <v>318</v>
      </c>
      <c r="J22" s="5" t="s">
        <v>253</v>
      </c>
      <c r="K22" s="5" t="s">
        <v>345</v>
      </c>
      <c r="L22" s="5" t="s">
        <v>331</v>
      </c>
      <c r="M22" s="5" t="s">
        <v>8</v>
      </c>
      <c r="N22" s="2"/>
      <c r="O22" s="2"/>
    </row>
    <row r="23" spans="1:15" ht="42.75">
      <c r="A23" s="5" t="s">
        <v>254</v>
      </c>
      <c r="B23" s="5" t="s">
        <v>171</v>
      </c>
      <c r="C23" s="5" t="s">
        <v>85</v>
      </c>
      <c r="D23" s="2" t="str">
        <f>VLOOKUP(B23,'Test Scenarios'!$A$3:$G$37,4,0)</f>
        <v>Verify that the cart badge is updated after removing an item.</v>
      </c>
      <c r="E23" s="2" t="str">
        <f>VLOOKUP('Test Cases'!B23,'Test Scenarios'!$A$3:$G$37,5,0)</f>
        <v>Functional</v>
      </c>
      <c r="F23" s="5" t="s">
        <v>255</v>
      </c>
      <c r="G23" s="5" t="s">
        <v>256</v>
      </c>
      <c r="H23" s="5" t="s">
        <v>230</v>
      </c>
      <c r="I23" s="5" t="s">
        <v>319</v>
      </c>
      <c r="J23" s="5" t="s">
        <v>257</v>
      </c>
      <c r="K23" s="5" t="s">
        <v>346</v>
      </c>
      <c r="L23" s="5" t="s">
        <v>331</v>
      </c>
      <c r="M23" s="5" t="s">
        <v>8</v>
      </c>
      <c r="N23" s="2"/>
      <c r="O23" s="2"/>
    </row>
    <row r="24" spans="1:15" ht="28.5">
      <c r="A24" s="5" t="s">
        <v>258</v>
      </c>
      <c r="B24" s="5" t="s">
        <v>173</v>
      </c>
      <c r="C24" s="5" t="s">
        <v>85</v>
      </c>
      <c r="D24" s="2" t="str">
        <f>VLOOKUP(B24,'Test Scenarios'!$A$3:$G$37,4,0)</f>
        <v>Verify that a user can continue shopping from the cart page.</v>
      </c>
      <c r="E24" s="2" t="str">
        <f>VLOOKUP('Test Cases'!B24,'Test Scenarios'!$A$3:$G$37,5,0)</f>
        <v>Positive / Navigation</v>
      </c>
      <c r="F24" s="5" t="s">
        <v>259</v>
      </c>
      <c r="G24" s="5" t="s">
        <v>260</v>
      </c>
      <c r="H24" s="5" t="s">
        <v>261</v>
      </c>
      <c r="I24" s="5" t="s">
        <v>262</v>
      </c>
      <c r="J24" s="5" t="s">
        <v>263</v>
      </c>
      <c r="K24" s="5" t="s">
        <v>347</v>
      </c>
      <c r="L24" s="5" t="s">
        <v>331</v>
      </c>
      <c r="M24" s="5" t="s">
        <v>8</v>
      </c>
      <c r="N24" s="2"/>
      <c r="O24" s="2"/>
    </row>
    <row r="25" spans="1:15" ht="28.5">
      <c r="A25" s="5" t="s">
        <v>264</v>
      </c>
      <c r="B25" s="5" t="s">
        <v>176</v>
      </c>
      <c r="C25" s="5" t="s">
        <v>85</v>
      </c>
      <c r="D25" s="2" t="str">
        <f>VLOOKUP(B25,'Test Scenarios'!$A$3:$G$37,4,0)</f>
        <v>Verify that a user can proceed from the cart page to checkout.</v>
      </c>
      <c r="E25" s="2" t="str">
        <f>VLOOKUP('Test Cases'!B25,'Test Scenarios'!$A$3:$G$37,5,0)</f>
        <v>Positive / Functional</v>
      </c>
      <c r="F25" s="5" t="s">
        <v>265</v>
      </c>
      <c r="G25" s="5" t="s">
        <v>266</v>
      </c>
      <c r="H25" s="5" t="s">
        <v>226</v>
      </c>
      <c r="I25" s="5" t="s">
        <v>320</v>
      </c>
      <c r="J25" s="5" t="s">
        <v>267</v>
      </c>
      <c r="K25" s="5" t="s">
        <v>348</v>
      </c>
      <c r="L25" s="5" t="s">
        <v>331</v>
      </c>
      <c r="M25" s="5" t="s">
        <v>8</v>
      </c>
      <c r="N25" s="2"/>
      <c r="O25" s="2"/>
    </row>
    <row r="26" spans="1:15" ht="28.5">
      <c r="A26" s="5" t="s">
        <v>273</v>
      </c>
      <c r="B26" s="5" t="s">
        <v>178</v>
      </c>
      <c r="C26" s="5" t="s">
        <v>112</v>
      </c>
      <c r="D26" s="2" t="str">
        <f>VLOOKUP(B26,'Test Scenarios'!$A$3:$G$37,4,0)</f>
        <v>Verify that a user can start checkout when the cart contains an item.</v>
      </c>
      <c r="E26" s="2" t="str">
        <f>VLOOKUP('Test Cases'!B26,'Test Scenarios'!$A$3:$G$37,5,0)</f>
        <v>Positive / Functional</v>
      </c>
      <c r="F26" s="5" t="s">
        <v>274</v>
      </c>
      <c r="G26" s="5" t="s">
        <v>275</v>
      </c>
      <c r="H26" s="5" t="s">
        <v>226</v>
      </c>
      <c r="I26" s="5" t="s">
        <v>320</v>
      </c>
      <c r="J26" s="5" t="s">
        <v>267</v>
      </c>
      <c r="K26" s="5" t="s">
        <v>349</v>
      </c>
      <c r="L26" s="5" t="s">
        <v>331</v>
      </c>
      <c r="M26" s="5" t="s">
        <v>8</v>
      </c>
      <c r="N26" s="2"/>
      <c r="O26" s="2"/>
    </row>
    <row r="27" spans="1:15" ht="57">
      <c r="A27" s="5" t="s">
        <v>276</v>
      </c>
      <c r="B27" s="5" t="s">
        <v>180</v>
      </c>
      <c r="C27" s="5" t="s">
        <v>112</v>
      </c>
      <c r="D27" s="2" t="str">
        <f>VLOOKUP(B27,'Test Scenarios'!$A$3:$G$37,4,0)</f>
        <v>Verify that checkout cannot continue when First Name is blank.</v>
      </c>
      <c r="E27" s="2" t="str">
        <f>VLOOKUP('Test Cases'!B27,'Test Scenarios'!$A$3:$G$37,5,0)</f>
        <v>Negative / Validation</v>
      </c>
      <c r="F27" s="5" t="s">
        <v>277</v>
      </c>
      <c r="G27" s="5" t="s">
        <v>278</v>
      </c>
      <c r="H27" s="5" t="s">
        <v>279</v>
      </c>
      <c r="I27" s="5" t="s">
        <v>321</v>
      </c>
      <c r="J27" s="5" t="s">
        <v>280</v>
      </c>
      <c r="K27" s="5" t="s">
        <v>350</v>
      </c>
      <c r="L27" s="5" t="s">
        <v>331</v>
      </c>
      <c r="M27" s="5" t="s">
        <v>8</v>
      </c>
      <c r="N27" s="2"/>
      <c r="O27" s="2"/>
    </row>
    <row r="28" spans="1:15" ht="57">
      <c r="A28" s="5" t="s">
        <v>281</v>
      </c>
      <c r="B28" s="5" t="s">
        <v>182</v>
      </c>
      <c r="C28" s="5" t="s">
        <v>112</v>
      </c>
      <c r="D28" s="2" t="str">
        <f>VLOOKUP(B28,'Test Scenarios'!$A$3:$G$37,4,0)</f>
        <v>Verify that checkout cannot continue when Last Name is blank.</v>
      </c>
      <c r="E28" s="2" t="str">
        <f>VLOOKUP('Test Cases'!B28,'Test Scenarios'!$A$3:$G$37,5,0)</f>
        <v>Negative / Validation</v>
      </c>
      <c r="F28" s="5" t="s">
        <v>282</v>
      </c>
      <c r="G28" s="5" t="s">
        <v>278</v>
      </c>
      <c r="H28" s="5" t="s">
        <v>283</v>
      </c>
      <c r="I28" s="5" t="s">
        <v>322</v>
      </c>
      <c r="J28" s="5" t="s">
        <v>284</v>
      </c>
      <c r="K28" s="5" t="s">
        <v>351</v>
      </c>
      <c r="L28" s="5" t="s">
        <v>331</v>
      </c>
      <c r="M28" s="5" t="s">
        <v>8</v>
      </c>
      <c r="N28" s="2"/>
      <c r="O28" s="2"/>
    </row>
    <row r="29" spans="1:15" ht="57">
      <c r="A29" s="5" t="s">
        <v>285</v>
      </c>
      <c r="B29" s="5" t="s">
        <v>184</v>
      </c>
      <c r="C29" s="5" t="s">
        <v>112</v>
      </c>
      <c r="D29" s="2" t="str">
        <f>VLOOKUP(B29,'Test Scenarios'!$A$3:$G$37,4,0)</f>
        <v>Verify that checkout cannot continue when Postal Code is blank.</v>
      </c>
      <c r="E29" s="2" t="str">
        <f>VLOOKUP('Test Cases'!B29,'Test Scenarios'!$A$3:$G$37,5,0)</f>
        <v>Negative / Validation</v>
      </c>
      <c r="F29" s="5" t="s">
        <v>286</v>
      </c>
      <c r="G29" s="5" t="s">
        <v>278</v>
      </c>
      <c r="H29" s="5" t="s">
        <v>287</v>
      </c>
      <c r="I29" s="5" t="s">
        <v>323</v>
      </c>
      <c r="J29" s="5" t="s">
        <v>288</v>
      </c>
      <c r="K29" s="5" t="s">
        <v>352</v>
      </c>
      <c r="L29" s="5" t="s">
        <v>331</v>
      </c>
      <c r="M29" s="5" t="s">
        <v>8</v>
      </c>
      <c r="N29" s="2"/>
      <c r="O29" s="2"/>
    </row>
    <row r="30" spans="1:15" ht="57">
      <c r="A30" s="5" t="s">
        <v>289</v>
      </c>
      <c r="B30" s="5" t="s">
        <v>186</v>
      </c>
      <c r="C30" s="5" t="s">
        <v>112</v>
      </c>
      <c r="D30" s="2" t="str">
        <f>VLOOKUP(B30,'Test Scenarios'!$A$3:$G$37,4,0)</f>
        <v>Verify that valid customer information allows the user to proceed to checkout overview.</v>
      </c>
      <c r="E30" s="2" t="str">
        <f>VLOOKUP('Test Cases'!B30,'Test Scenarios'!$A$3:$G$37,5,0)</f>
        <v>Positive / Functional</v>
      </c>
      <c r="F30" s="5" t="s">
        <v>290</v>
      </c>
      <c r="G30" s="5" t="s">
        <v>278</v>
      </c>
      <c r="H30" s="5" t="s">
        <v>291</v>
      </c>
      <c r="I30" s="5" t="s">
        <v>324</v>
      </c>
      <c r="J30" s="5" t="s">
        <v>292</v>
      </c>
      <c r="K30" s="5" t="s">
        <v>353</v>
      </c>
      <c r="L30" s="5" t="s">
        <v>331</v>
      </c>
      <c r="M30" s="5" t="s">
        <v>8</v>
      </c>
      <c r="N30" s="2"/>
      <c r="O30" s="2"/>
    </row>
    <row r="31" spans="1:15" ht="28.5">
      <c r="A31" s="5" t="s">
        <v>293</v>
      </c>
      <c r="B31" s="5" t="s">
        <v>188</v>
      </c>
      <c r="C31" s="5" t="s">
        <v>112</v>
      </c>
      <c r="D31" s="2" t="str">
        <f>VLOOKUP(B31,'Test Scenarios'!$A$3:$G$37,4,0)</f>
        <v>Verify that the checkout overview displays the selected product correctly.</v>
      </c>
      <c r="E31" s="2" t="str">
        <f>VLOOKUP('Test Cases'!B31,'Test Scenarios'!$A$3:$G$37,5,0)</f>
        <v>Data Validation</v>
      </c>
      <c r="F31" s="5" t="s">
        <v>294</v>
      </c>
      <c r="G31" s="5" t="s">
        <v>295</v>
      </c>
      <c r="H31" s="5" t="s">
        <v>226</v>
      </c>
      <c r="I31" s="5" t="s">
        <v>325</v>
      </c>
      <c r="J31" s="5" t="s">
        <v>296</v>
      </c>
      <c r="K31" s="5" t="s">
        <v>354</v>
      </c>
      <c r="L31" s="5" t="s">
        <v>331</v>
      </c>
      <c r="M31" s="5" t="s">
        <v>8</v>
      </c>
      <c r="N31" s="2"/>
      <c r="O31" s="2"/>
    </row>
    <row r="32" spans="1:15" ht="42.75">
      <c r="A32" s="5" t="s">
        <v>297</v>
      </c>
      <c r="B32" s="5" t="s">
        <v>190</v>
      </c>
      <c r="C32" s="5" t="s">
        <v>112</v>
      </c>
      <c r="D32" s="2" t="str">
        <f>VLOOKUP(B32,'Test Scenarios'!$A$3:$G$37,4,0)</f>
        <v>Verify that the product price on checkout overview is correct.</v>
      </c>
      <c r="E32" s="2" t="str">
        <f>VLOOKUP('Test Cases'!B32,'Test Scenarios'!$A$3:$G$37,5,0)</f>
        <v>Data Validation</v>
      </c>
      <c r="F32" s="5" t="s">
        <v>298</v>
      </c>
      <c r="G32" s="5" t="s">
        <v>295</v>
      </c>
      <c r="H32" s="5" t="s">
        <v>226</v>
      </c>
      <c r="I32" s="5" t="s">
        <v>326</v>
      </c>
      <c r="J32" s="5" t="s">
        <v>299</v>
      </c>
      <c r="K32" s="5" t="s">
        <v>355</v>
      </c>
      <c r="L32" s="5" t="s">
        <v>331</v>
      </c>
      <c r="M32" s="5" t="s">
        <v>8</v>
      </c>
      <c r="N32" s="2"/>
      <c r="O32" s="2"/>
    </row>
    <row r="33" spans="1:15" ht="57">
      <c r="A33" s="5" t="s">
        <v>300</v>
      </c>
      <c r="B33" s="5" t="s">
        <v>192</v>
      </c>
      <c r="C33" s="5" t="s">
        <v>112</v>
      </c>
      <c r="D33" s="2" t="str">
        <f>VLOOKUP(B33,'Test Scenarios'!$A$3:$G$37,4,0)</f>
        <v>Verify that item total, tax, and total amount are displayed correctly.</v>
      </c>
      <c r="E33" s="2" t="str">
        <f>VLOOKUP('Test Cases'!B33,'Test Scenarios'!$A$3:$G$37,5,0)</f>
        <v>Calculation / Data Validation</v>
      </c>
      <c r="F33" s="5" t="s">
        <v>301</v>
      </c>
      <c r="G33" s="5" t="s">
        <v>295</v>
      </c>
      <c r="H33" s="5" t="s">
        <v>302</v>
      </c>
      <c r="I33" s="5" t="s">
        <v>327</v>
      </c>
      <c r="J33" s="5" t="s">
        <v>303</v>
      </c>
      <c r="K33" s="5" t="s">
        <v>356</v>
      </c>
      <c r="L33" s="5" t="s">
        <v>331</v>
      </c>
      <c r="M33" s="5" t="s">
        <v>8</v>
      </c>
      <c r="N33" s="2"/>
      <c r="O33" s="2"/>
    </row>
    <row r="34" spans="1:15" ht="42.75">
      <c r="A34" s="5" t="s">
        <v>304</v>
      </c>
      <c r="B34" s="5" t="s">
        <v>195</v>
      </c>
      <c r="C34" s="5" t="s">
        <v>112</v>
      </c>
      <c r="D34" s="2" t="str">
        <f>VLOOKUP(B34,'Test Scenarios'!$A$3:$G$37,4,0)</f>
        <v>Verify that a user can successfully complete an order.</v>
      </c>
      <c r="E34" s="2" t="str">
        <f>VLOOKUP('Test Cases'!B34,'Test Scenarios'!$A$3:$G$37,5,0)</f>
        <v>Positive / End-to-End</v>
      </c>
      <c r="F34" s="5" t="s">
        <v>305</v>
      </c>
      <c r="G34" s="5" t="s">
        <v>295</v>
      </c>
      <c r="H34" s="5" t="s">
        <v>306</v>
      </c>
      <c r="I34" s="5" t="s">
        <v>328</v>
      </c>
      <c r="J34" s="5" t="s">
        <v>307</v>
      </c>
      <c r="K34" s="5" t="s">
        <v>357</v>
      </c>
      <c r="L34" s="5" t="s">
        <v>331</v>
      </c>
      <c r="M34" s="5" t="s">
        <v>8</v>
      </c>
      <c r="N34" s="2"/>
      <c r="O34" s="2"/>
    </row>
    <row r="35" spans="1:15" ht="28.5">
      <c r="A35" s="5" t="s">
        <v>308</v>
      </c>
      <c r="B35" s="5" t="s">
        <v>198</v>
      </c>
      <c r="C35" s="5" t="s">
        <v>112</v>
      </c>
      <c r="D35" s="2" t="str">
        <f>VLOOKUP(B35,'Test Scenarios'!$A$3:$G$37,4,0)</f>
        <v>Verify that an order confirmation message is displayed after successful checkout.</v>
      </c>
      <c r="E35" s="2" t="str">
        <f>VLOOKUP('Test Cases'!B35,'Test Scenarios'!$A$3:$G$37,5,0)</f>
        <v>Positive / Functional</v>
      </c>
      <c r="F35" s="5" t="s">
        <v>309</v>
      </c>
      <c r="G35" s="5" t="s">
        <v>310</v>
      </c>
      <c r="H35" s="5" t="s">
        <v>261</v>
      </c>
      <c r="I35" s="5" t="s">
        <v>329</v>
      </c>
      <c r="J35" s="5" t="s">
        <v>311</v>
      </c>
      <c r="K35" s="5" t="s">
        <v>334</v>
      </c>
      <c r="L35" s="5" t="s">
        <v>331</v>
      </c>
      <c r="M35" s="5" t="s">
        <v>8</v>
      </c>
      <c r="N35" s="2"/>
      <c r="O35" s="2"/>
    </row>
    <row r="36" spans="1:15" ht="28.5">
      <c r="A36" s="5" t="s">
        <v>312</v>
      </c>
      <c r="B36" s="5" t="s">
        <v>200</v>
      </c>
      <c r="C36" s="5" t="s">
        <v>112</v>
      </c>
      <c r="D36" s="2" t="str">
        <f>VLOOKUP(B36,'Test Scenarios'!$A$3:$G$37,4,0)</f>
        <v>Verify that a user can cancel the checkout process before placing the order.</v>
      </c>
      <c r="E36" s="2" t="str">
        <f>VLOOKUP('Test Cases'!B36,'Test Scenarios'!$A$3:$G$37,5,0)</f>
        <v>Positive / Functional</v>
      </c>
      <c r="F36" s="5" t="s">
        <v>313</v>
      </c>
      <c r="G36" s="5" t="s">
        <v>314</v>
      </c>
      <c r="H36" s="5" t="s">
        <v>261</v>
      </c>
      <c r="I36" s="5" t="s">
        <v>330</v>
      </c>
      <c r="J36" s="5" t="s">
        <v>315</v>
      </c>
      <c r="K36" s="5" t="s">
        <v>358</v>
      </c>
      <c r="L36" s="5" t="s">
        <v>331</v>
      </c>
      <c r="M36" s="5" t="s">
        <v>8</v>
      </c>
      <c r="N36" s="2"/>
      <c r="O36" s="2"/>
    </row>
    <row r="37" spans="1:15">
      <c r="A37" s="5"/>
      <c r="B37" s="5"/>
      <c r="C37" s="5"/>
      <c r="D37" s="2"/>
      <c r="E37" s="2"/>
      <c r="F37" s="2"/>
      <c r="G37" s="2"/>
      <c r="H37" s="2"/>
      <c r="I37" s="2"/>
      <c r="J37" s="2"/>
      <c r="K37" s="5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</sheetData>
  <mergeCells count="1">
    <mergeCell ref="A1:M1"/>
  </mergeCells>
  <phoneticPr fontId="4" type="noConversion"/>
  <conditionalFormatting sqref="L37:L200">
    <cfRule type="expression" dxfId="2" priority="1">
      <formula>L37="Pass"</formula>
    </cfRule>
    <cfRule type="expression" dxfId="1" priority="2">
      <formula>L37="Fail"</formula>
    </cfRule>
    <cfRule type="expression" dxfId="0" priority="3">
      <formula>L37="Blocked"</formula>
    </cfRule>
  </conditionalFormatting>
  <dataValidations count="4">
    <dataValidation type="list" sqref="L37:L200" xr:uid="{00000000-0002-0000-0200-000000000000}">
      <formula1>"Not Run,Pass,Fail,Blocked"</formula1>
    </dataValidation>
    <dataValidation type="list" sqref="M37:M200" xr:uid="{00000000-0002-0000-0200-000001000000}">
      <formula1>"Critical,High,Medium,Low"</formula1>
    </dataValidation>
    <dataValidation type="list" allowBlank="1" showInputMessage="1" showErrorMessage="1" sqref="L4:L36" xr:uid="{065254B7-4A5F-478B-B59C-3F821A544E80}">
      <formula1>"Pass, Fail, Blocked, Not Run"</formula1>
    </dataValidation>
    <dataValidation type="list" allowBlank="1" showInputMessage="1" showErrorMessage="1" sqref="M4:M36" xr:uid="{0FCF785D-2F21-4C0E-977E-94A8CDCC6EA3}">
      <formula1>"Low, Medium, High, Critical"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B16" sqref="B16"/>
    </sheetView>
  </sheetViews>
  <sheetFormatPr defaultRowHeight="14.25"/>
  <cols>
    <col min="1" max="1" width="24" customWidth="1"/>
    <col min="2" max="2" width="34" customWidth="1"/>
    <col min="3" max="3" width="5" customWidth="1"/>
    <col min="4" max="4" width="8.25" customWidth="1"/>
    <col min="5" max="5" width="7.125" customWidth="1"/>
    <col min="6" max="6" width="5" customWidth="1"/>
  </cols>
  <sheetData>
    <row r="1" spans="1:6" ht="18">
      <c r="A1" s="10" t="s">
        <v>68</v>
      </c>
      <c r="B1" s="10"/>
      <c r="C1" s="10"/>
      <c r="D1" s="10"/>
      <c r="E1" s="10"/>
      <c r="F1" s="10"/>
    </row>
    <row r="2" spans="1:6">
      <c r="A2" s="2"/>
      <c r="B2" s="2"/>
      <c r="C2" s="2"/>
      <c r="D2" s="2"/>
      <c r="E2" s="2"/>
      <c r="F2" s="2"/>
    </row>
    <row r="3" spans="1:6">
      <c r="A3" s="2" t="s">
        <v>69</v>
      </c>
      <c r="B3" s="2" t="s">
        <v>70</v>
      </c>
      <c r="C3" s="2"/>
      <c r="D3" s="2"/>
      <c r="E3" s="2"/>
      <c r="F3" s="2"/>
    </row>
    <row r="4" spans="1:6">
      <c r="A4" s="2" t="s">
        <v>71</v>
      </c>
      <c r="B4" s="2" t="s">
        <v>365</v>
      </c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 ht="15">
      <c r="A6" s="1" t="s">
        <v>72</v>
      </c>
      <c r="B6" s="1" t="s">
        <v>73</v>
      </c>
      <c r="C6" s="2"/>
      <c r="D6" s="2"/>
    </row>
    <row r="7" spans="1:6">
      <c r="A7" s="2" t="s">
        <v>74</v>
      </c>
      <c r="B7" s="2">
        <f>COUNTA('Test Cases'!A4:A200)</f>
        <v>33</v>
      </c>
      <c r="C7" s="2"/>
      <c r="D7" s="2"/>
    </row>
    <row r="8" spans="1:6">
      <c r="A8" s="2" t="s">
        <v>75</v>
      </c>
      <c r="B8" s="2">
        <f>COUNTIF('Test Cases'!L4:L200,"Pass")</f>
        <v>33</v>
      </c>
      <c r="C8" s="2"/>
      <c r="D8" s="2"/>
    </row>
    <row r="9" spans="1:6">
      <c r="A9" s="2" t="s">
        <v>77</v>
      </c>
      <c r="B9" s="2">
        <f>COUNTIF('Test Cases'!L4:L200,"Fail")</f>
        <v>0</v>
      </c>
      <c r="C9" s="2"/>
      <c r="D9" s="2"/>
    </row>
    <row r="10" spans="1:6">
      <c r="A10" s="2" t="s">
        <v>78</v>
      </c>
      <c r="B10" s="2">
        <f>COUNTIF('Test Cases'!L4:L200,"Blocked")</f>
        <v>0</v>
      </c>
      <c r="C10" s="2"/>
      <c r="D10" s="2"/>
    </row>
    <row r="11" spans="1:6">
      <c r="A11" s="2" t="s">
        <v>42</v>
      </c>
      <c r="B11" s="2">
        <f>COUNTIF('Test Cases'!L4:L200,"Not Run")</f>
        <v>0</v>
      </c>
      <c r="C11" s="2"/>
      <c r="D11" s="2"/>
    </row>
    <row r="12" spans="1:6">
      <c r="A12" s="2" t="s">
        <v>79</v>
      </c>
      <c r="B12" s="3">
        <f>IF(B7=0,0,B8/B7)</f>
        <v>1</v>
      </c>
      <c r="C12" s="2"/>
      <c r="D12" s="2"/>
    </row>
    <row r="13" spans="1:6">
      <c r="A13" s="2"/>
      <c r="B13" s="2"/>
      <c r="C13" s="2"/>
      <c r="D13" s="2"/>
    </row>
    <row r="14" spans="1:6">
      <c r="A14" s="2"/>
      <c r="B14" s="2"/>
      <c r="C14" s="2"/>
      <c r="D14" s="2"/>
      <c r="E14" s="2"/>
      <c r="F14" s="2"/>
    </row>
    <row r="15" spans="1:6" ht="30">
      <c r="A15" s="4" t="s">
        <v>80</v>
      </c>
      <c r="B15" s="2"/>
      <c r="C15" s="2"/>
      <c r="D15" s="2"/>
      <c r="E15" s="2"/>
      <c r="F15" s="2"/>
    </row>
    <row r="16" spans="1:6" ht="28.5">
      <c r="A16" s="4" t="s">
        <v>81</v>
      </c>
      <c r="B16" s="2" t="s">
        <v>82</v>
      </c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mergeCells count="1">
    <mergeCell ref="A1:F1"/>
  </mergeCells>
  <dataValidations count="1">
    <dataValidation type="list" sqref="B15" xr:uid="{00000000-0002-0000-0400-000000000000}">
      <formula1>"Ready,Ready with Known Issues,Not Ready"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</vt:lpstr>
      <vt:lpstr>Test Scenarios</vt:lpstr>
      <vt:lpstr>Test Cases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Jirapat Sivamard</dc:creator>
  <cp:lastModifiedBy>Jirapat Sivamard</cp:lastModifiedBy>
  <dcterms:created xsi:type="dcterms:W3CDTF">2026-08-16T06:42:08Z</dcterms:created>
  <dcterms:modified xsi:type="dcterms:W3CDTF">2026-08-19T07:31:22Z</dcterms:modified>
</cp:coreProperties>
</file>